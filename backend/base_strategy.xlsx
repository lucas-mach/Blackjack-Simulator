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ook\Downloads\"/>
    </mc:Choice>
  </mc:AlternateContent>
  <xr:revisionPtr revIDLastSave="0" documentId="13_ncr:1_{D0320A2E-3EF0-4F89-93EF-96FBE6C1C795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trategy" sheetId="1" r:id="rId1"/>
    <sheet name="Dealer" sheetId="2" r:id="rId2"/>
    <sheet name="Hit" sheetId="3" r:id="rId3"/>
    <sheet name="Stand" sheetId="4" r:id="rId4"/>
    <sheet name="HS" sheetId="5" r:id="rId5"/>
    <sheet name="Double" sheetId="6" r:id="rId6"/>
    <sheet name="HSD" sheetId="7" r:id="rId7"/>
    <sheet name="Surrender" sheetId="8" r:id="rId8"/>
    <sheet name="HSDR" sheetId="9" r:id="rId9"/>
    <sheet name="Split" sheetId="10" r:id="rId10"/>
    <sheet name="Probability" sheetId="11" r:id="rId11"/>
    <sheet name="Expected Return" sheetId="12" r:id="rId12"/>
    <sheet name="Expected Value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3" l="1"/>
  <c r="B43" i="13" s="1"/>
  <c r="J65" i="11"/>
  <c r="I65" i="11"/>
  <c r="H65" i="11"/>
  <c r="G65" i="11"/>
  <c r="F65" i="11"/>
  <c r="E65" i="11"/>
  <c r="D65" i="11"/>
  <c r="C65" i="11"/>
  <c r="B65" i="11"/>
  <c r="J64" i="11"/>
  <c r="I64" i="11"/>
  <c r="H64" i="11"/>
  <c r="G64" i="11"/>
  <c r="F64" i="11"/>
  <c r="E64" i="11"/>
  <c r="D64" i="11"/>
  <c r="C64" i="11"/>
  <c r="B64" i="11"/>
  <c r="J63" i="11"/>
  <c r="I63" i="11"/>
  <c r="H63" i="11"/>
  <c r="G63" i="11"/>
  <c r="F63" i="11"/>
  <c r="E63" i="11"/>
  <c r="D63" i="11"/>
  <c r="C63" i="11"/>
  <c r="B63" i="11"/>
  <c r="J62" i="11"/>
  <c r="I62" i="11"/>
  <c r="H62" i="11"/>
  <c r="G62" i="11"/>
  <c r="F62" i="11"/>
  <c r="E62" i="11"/>
  <c r="D62" i="11"/>
  <c r="C62" i="11"/>
  <c r="B62" i="11"/>
  <c r="J61" i="11"/>
  <c r="I61" i="11"/>
  <c r="H61" i="11"/>
  <c r="G61" i="11"/>
  <c r="F61" i="11"/>
  <c r="E61" i="11"/>
  <c r="D61" i="11"/>
  <c r="C61" i="11"/>
  <c r="B61" i="11"/>
  <c r="J60" i="11"/>
  <c r="I60" i="11"/>
  <c r="H60" i="11"/>
  <c r="G60" i="11"/>
  <c r="F60" i="11"/>
  <c r="E60" i="11"/>
  <c r="D60" i="11"/>
  <c r="C60" i="11"/>
  <c r="B60" i="11"/>
  <c r="J59" i="11"/>
  <c r="I59" i="11"/>
  <c r="H59" i="11"/>
  <c r="G59" i="11"/>
  <c r="F59" i="11"/>
  <c r="E59" i="11"/>
  <c r="D59" i="11"/>
  <c r="C59" i="11"/>
  <c r="B59" i="11"/>
  <c r="J58" i="11"/>
  <c r="I58" i="11"/>
  <c r="H58" i="11"/>
  <c r="G58" i="11"/>
  <c r="F58" i="11"/>
  <c r="E58" i="11"/>
  <c r="D58" i="11"/>
  <c r="C58" i="11"/>
  <c r="B58" i="11"/>
  <c r="J57" i="11"/>
  <c r="I57" i="11"/>
  <c r="H57" i="11"/>
  <c r="G57" i="11"/>
  <c r="F57" i="11"/>
  <c r="E57" i="11"/>
  <c r="D57" i="11"/>
  <c r="C57" i="11"/>
  <c r="B57" i="11"/>
  <c r="I51" i="11"/>
  <c r="H51" i="11"/>
  <c r="G51" i="11"/>
  <c r="F51" i="11"/>
  <c r="E51" i="11"/>
  <c r="D51" i="11"/>
  <c r="C51" i="11"/>
  <c r="B51" i="11"/>
  <c r="J50" i="11"/>
  <c r="H50" i="11"/>
  <c r="G50" i="11"/>
  <c r="F50" i="11"/>
  <c r="E50" i="11"/>
  <c r="D50" i="11"/>
  <c r="C50" i="11"/>
  <c r="B50" i="11"/>
  <c r="J49" i="11"/>
  <c r="I49" i="11"/>
  <c r="G49" i="11"/>
  <c r="F49" i="11"/>
  <c r="E49" i="11"/>
  <c r="D49" i="11"/>
  <c r="C49" i="11"/>
  <c r="B49" i="11"/>
  <c r="J48" i="11"/>
  <c r="I48" i="11"/>
  <c r="H48" i="11"/>
  <c r="F48" i="11"/>
  <c r="E48" i="11"/>
  <c r="D48" i="11"/>
  <c r="C48" i="11"/>
  <c r="B48" i="11"/>
  <c r="J47" i="11"/>
  <c r="I47" i="11"/>
  <c r="H47" i="11"/>
  <c r="G47" i="11"/>
  <c r="E47" i="11"/>
  <c r="D47" i="11"/>
  <c r="C47" i="11"/>
  <c r="B47" i="11"/>
  <c r="J46" i="11"/>
  <c r="I46" i="11"/>
  <c r="H46" i="11"/>
  <c r="G46" i="11"/>
  <c r="F46" i="11"/>
  <c r="D46" i="11"/>
  <c r="C46" i="11"/>
  <c r="B46" i="11"/>
  <c r="J45" i="11"/>
  <c r="I45" i="11"/>
  <c r="H45" i="11"/>
  <c r="G45" i="11"/>
  <c r="F45" i="11"/>
  <c r="E45" i="11"/>
  <c r="C45" i="11"/>
  <c r="B45" i="11"/>
  <c r="J44" i="11"/>
  <c r="I44" i="11"/>
  <c r="H44" i="11"/>
  <c r="G44" i="11"/>
  <c r="F44" i="11"/>
  <c r="E44" i="11"/>
  <c r="D44" i="11"/>
  <c r="B44" i="11"/>
  <c r="J43" i="11"/>
  <c r="I43" i="11"/>
  <c r="H43" i="11"/>
  <c r="G43" i="11"/>
  <c r="F43" i="11"/>
  <c r="E43" i="11"/>
  <c r="D43" i="11"/>
  <c r="B74" i="11" s="1"/>
  <c r="C43" i="11"/>
  <c r="N40" i="11"/>
  <c r="K39" i="11"/>
  <c r="J39" i="11"/>
  <c r="I39" i="11"/>
  <c r="H39" i="11"/>
  <c r="G39" i="11"/>
  <c r="F39" i="11"/>
  <c r="E39" i="11"/>
  <c r="D39" i="11"/>
  <c r="C39" i="11"/>
  <c r="B39" i="11"/>
  <c r="K38" i="11"/>
  <c r="J38" i="11"/>
  <c r="I38" i="11"/>
  <c r="H38" i="11"/>
  <c r="G38" i="11"/>
  <c r="F38" i="11"/>
  <c r="E38" i="11"/>
  <c r="D38" i="11"/>
  <c r="C38" i="11"/>
  <c r="B38" i="11"/>
  <c r="K37" i="11"/>
  <c r="J37" i="11"/>
  <c r="I37" i="11"/>
  <c r="H37" i="11"/>
  <c r="G37" i="11"/>
  <c r="F37" i="11"/>
  <c r="E37" i="11"/>
  <c r="D37" i="11"/>
  <c r="C37" i="11"/>
  <c r="B37" i="11"/>
  <c r="K36" i="11"/>
  <c r="J36" i="11"/>
  <c r="I36" i="11"/>
  <c r="H36" i="11"/>
  <c r="G36" i="11"/>
  <c r="F36" i="11"/>
  <c r="E36" i="11"/>
  <c r="D36" i="11"/>
  <c r="C36" i="11"/>
  <c r="B36" i="11"/>
  <c r="K35" i="11"/>
  <c r="J35" i="11"/>
  <c r="I35" i="11"/>
  <c r="H35" i="11"/>
  <c r="G35" i="11"/>
  <c r="F35" i="11"/>
  <c r="E35" i="11"/>
  <c r="D35" i="11"/>
  <c r="C35" i="11"/>
  <c r="B35" i="11"/>
  <c r="K34" i="11"/>
  <c r="J34" i="11"/>
  <c r="I34" i="11"/>
  <c r="H34" i="11"/>
  <c r="G34" i="11"/>
  <c r="F34" i="11"/>
  <c r="E34" i="11"/>
  <c r="D34" i="11"/>
  <c r="C34" i="11"/>
  <c r="B34" i="11"/>
  <c r="K33" i="11"/>
  <c r="J33" i="11"/>
  <c r="I33" i="11"/>
  <c r="H33" i="11"/>
  <c r="G33" i="11"/>
  <c r="F33" i="11"/>
  <c r="E33" i="11"/>
  <c r="D33" i="11"/>
  <c r="C33" i="11"/>
  <c r="B33" i="11"/>
  <c r="K32" i="11"/>
  <c r="J32" i="11"/>
  <c r="I32" i="11"/>
  <c r="H32" i="11"/>
  <c r="G32" i="11"/>
  <c r="F32" i="11"/>
  <c r="E32" i="11"/>
  <c r="D32" i="11"/>
  <c r="C32" i="11"/>
  <c r="B32" i="11"/>
  <c r="K31" i="11"/>
  <c r="J31" i="11"/>
  <c r="I31" i="11"/>
  <c r="H31" i="11"/>
  <c r="G31" i="11"/>
  <c r="F31" i="11"/>
  <c r="E31" i="11"/>
  <c r="D31" i="11"/>
  <c r="C31" i="11"/>
  <c r="B31" i="11"/>
  <c r="K30" i="11"/>
  <c r="J30" i="11"/>
  <c r="I30" i="11"/>
  <c r="H30" i="11"/>
  <c r="G30" i="11"/>
  <c r="F30" i="11"/>
  <c r="E30" i="11"/>
  <c r="D30" i="11"/>
  <c r="C30" i="11"/>
  <c r="B30" i="11"/>
  <c r="K28" i="11"/>
  <c r="K28" i="13" s="1"/>
  <c r="J28" i="11"/>
  <c r="J28" i="13" s="1"/>
  <c r="I28" i="11"/>
  <c r="I28" i="13" s="1"/>
  <c r="H28" i="11"/>
  <c r="H28" i="13" s="1"/>
  <c r="G28" i="11"/>
  <c r="G28" i="13" s="1"/>
  <c r="F28" i="11"/>
  <c r="F28" i="13" s="1"/>
  <c r="E28" i="11"/>
  <c r="E28" i="13" s="1"/>
  <c r="D28" i="11"/>
  <c r="D28" i="13" s="1"/>
  <c r="C28" i="11"/>
  <c r="C28" i="13" s="1"/>
  <c r="B28" i="11"/>
  <c r="B28" i="13" s="1"/>
  <c r="K27" i="11"/>
  <c r="J27" i="11"/>
  <c r="I27" i="11"/>
  <c r="H27" i="11"/>
  <c r="G27" i="11"/>
  <c r="F27" i="11"/>
  <c r="E27" i="11"/>
  <c r="D27" i="11"/>
  <c r="C27" i="11"/>
  <c r="B27" i="11"/>
  <c r="K26" i="11"/>
  <c r="J26" i="11"/>
  <c r="I26" i="11"/>
  <c r="H26" i="11"/>
  <c r="G26" i="11"/>
  <c r="F26" i="11"/>
  <c r="E26" i="11"/>
  <c r="D26" i="11"/>
  <c r="C26" i="11"/>
  <c r="B26" i="11"/>
  <c r="K25" i="11"/>
  <c r="J25" i="11"/>
  <c r="I25" i="11"/>
  <c r="H25" i="11"/>
  <c r="G25" i="11"/>
  <c r="F25" i="11"/>
  <c r="E25" i="11"/>
  <c r="D25" i="11"/>
  <c r="C25" i="11"/>
  <c r="B25" i="11"/>
  <c r="K24" i="11"/>
  <c r="J24" i="11"/>
  <c r="I24" i="11"/>
  <c r="H24" i="11"/>
  <c r="G24" i="11"/>
  <c r="F24" i="11"/>
  <c r="E24" i="11"/>
  <c r="D24" i="11"/>
  <c r="C24" i="11"/>
  <c r="B24" i="11"/>
  <c r="K23" i="11"/>
  <c r="J23" i="11"/>
  <c r="I23" i="11"/>
  <c r="H23" i="11"/>
  <c r="G23" i="11"/>
  <c r="F23" i="11"/>
  <c r="E23" i="11"/>
  <c r="D23" i="11"/>
  <c r="C23" i="11"/>
  <c r="B23" i="11"/>
  <c r="K22" i="11"/>
  <c r="J22" i="11"/>
  <c r="I22" i="11"/>
  <c r="H22" i="11"/>
  <c r="G22" i="11"/>
  <c r="F22" i="11"/>
  <c r="E22" i="11"/>
  <c r="D22" i="11"/>
  <c r="C22" i="11"/>
  <c r="B22" i="11"/>
  <c r="K21" i="11"/>
  <c r="J21" i="11"/>
  <c r="I21" i="11"/>
  <c r="H21" i="11"/>
  <c r="G21" i="11"/>
  <c r="F21" i="11"/>
  <c r="E21" i="11"/>
  <c r="D21" i="11"/>
  <c r="C21" i="11"/>
  <c r="B21" i="11"/>
  <c r="K20" i="11"/>
  <c r="J20" i="11"/>
  <c r="I20" i="11"/>
  <c r="H20" i="11"/>
  <c r="G20" i="11"/>
  <c r="F20" i="11"/>
  <c r="E20" i="11"/>
  <c r="D20" i="11"/>
  <c r="C20" i="11"/>
  <c r="B20" i="11"/>
  <c r="K6" i="8"/>
  <c r="K7" i="8" s="1"/>
  <c r="K8" i="8" s="1"/>
  <c r="K9" i="8" s="1"/>
  <c r="K10" i="8" s="1"/>
  <c r="I6" i="8"/>
  <c r="I7" i="8" s="1"/>
  <c r="I8" i="8" s="1"/>
  <c r="I9" i="8" s="1"/>
  <c r="I10" i="8" s="1"/>
  <c r="H6" i="8"/>
  <c r="H7" i="8" s="1"/>
  <c r="H8" i="8" s="1"/>
  <c r="H9" i="8" s="1"/>
  <c r="H10" i="8" s="1"/>
  <c r="E6" i="8"/>
  <c r="E7" i="8" s="1"/>
  <c r="E8" i="8" s="1"/>
  <c r="E9" i="8" s="1"/>
  <c r="E10" i="8" s="1"/>
  <c r="D6" i="8"/>
  <c r="D7" i="8" s="1"/>
  <c r="D8" i="8" s="1"/>
  <c r="D9" i="8" s="1"/>
  <c r="D10" i="8" s="1"/>
  <c r="K4" i="8"/>
  <c r="K5" i="8" s="1"/>
  <c r="J4" i="8"/>
  <c r="J5" i="8" s="1"/>
  <c r="J6" i="8" s="1"/>
  <c r="J7" i="8" s="1"/>
  <c r="J8" i="8" s="1"/>
  <c r="J9" i="8" s="1"/>
  <c r="J10" i="8" s="1"/>
  <c r="I4" i="8"/>
  <c r="I5" i="8" s="1"/>
  <c r="H4" i="8"/>
  <c r="H5" i="8" s="1"/>
  <c r="G4" i="8"/>
  <c r="G5" i="8" s="1"/>
  <c r="G6" i="8" s="1"/>
  <c r="G7" i="8" s="1"/>
  <c r="G8" i="8" s="1"/>
  <c r="G9" i="8" s="1"/>
  <c r="G10" i="8" s="1"/>
  <c r="F4" i="8"/>
  <c r="F5" i="8" s="1"/>
  <c r="F6" i="8" s="1"/>
  <c r="F7" i="8" s="1"/>
  <c r="F8" i="8" s="1"/>
  <c r="F9" i="8" s="1"/>
  <c r="F10" i="8" s="1"/>
  <c r="K3" i="8"/>
  <c r="J3" i="8"/>
  <c r="I3" i="8"/>
  <c r="H3" i="8"/>
  <c r="G3" i="8"/>
  <c r="F3" i="8"/>
  <c r="E3" i="8"/>
  <c r="E4" i="8" s="1"/>
  <c r="E5" i="8" s="1"/>
  <c r="D3" i="8"/>
  <c r="D4" i="8" s="1"/>
  <c r="D5" i="8" s="1"/>
  <c r="C3" i="8"/>
  <c r="C4" i="8" s="1"/>
  <c r="C5" i="8" s="1"/>
  <c r="C6" i="8" s="1"/>
  <c r="C7" i="8" s="1"/>
  <c r="C8" i="8" s="1"/>
  <c r="C9" i="8" s="1"/>
  <c r="C10" i="8" s="1"/>
  <c r="B3" i="8"/>
  <c r="B4" i="8" s="1"/>
  <c r="B5" i="8" s="1"/>
  <c r="B6" i="8" s="1"/>
  <c r="B7" i="8" s="1"/>
  <c r="B8" i="8" s="1"/>
  <c r="B9" i="8" s="1"/>
  <c r="B10" i="8" s="1"/>
  <c r="G51" i="6"/>
  <c r="F51" i="6"/>
  <c r="E51" i="6"/>
  <c r="D51" i="6"/>
  <c r="C51" i="6"/>
  <c r="B51" i="6"/>
  <c r="K19" i="6"/>
  <c r="K51" i="6" s="1"/>
  <c r="J19" i="6"/>
  <c r="J51" i="6" s="1"/>
  <c r="I19" i="6"/>
  <c r="I51" i="6" s="1"/>
  <c r="H19" i="6"/>
  <c r="H51" i="6" s="1"/>
  <c r="G19" i="6"/>
  <c r="F19" i="6"/>
  <c r="E19" i="6"/>
  <c r="D19" i="6"/>
  <c r="C19" i="6"/>
  <c r="B19" i="6"/>
  <c r="K51" i="3"/>
  <c r="J51" i="3"/>
  <c r="I51" i="3"/>
  <c r="H51" i="3"/>
  <c r="G51" i="3"/>
  <c r="F51" i="3"/>
  <c r="E51" i="3"/>
  <c r="D51" i="3"/>
  <c r="C51" i="3"/>
  <c r="B51" i="3"/>
  <c r="AX17" i="2"/>
  <c r="AV17" i="2"/>
  <c r="AP17" i="2"/>
  <c r="AO17" i="2"/>
  <c r="AN17" i="2"/>
  <c r="AM17" i="2"/>
  <c r="AL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AZ16" i="2"/>
  <c r="AY16" i="2"/>
  <c r="AX16" i="2"/>
  <c r="AW16" i="2"/>
  <c r="AV16" i="2"/>
  <c r="P16" i="2"/>
  <c r="AU16" i="2" s="1"/>
  <c r="AZ15" i="2"/>
  <c r="AY15" i="2"/>
  <c r="AX15" i="2"/>
  <c r="AW15" i="2"/>
  <c r="AV15" i="2"/>
  <c r="P15" i="2"/>
  <c r="AZ14" i="2"/>
  <c r="AY14" i="2"/>
  <c r="AX14" i="2"/>
  <c r="AW14" i="2"/>
  <c r="AV14" i="2"/>
  <c r="AU14" i="2"/>
  <c r="P14" i="2"/>
  <c r="AZ13" i="2"/>
  <c r="AY13" i="2"/>
  <c r="AY17" i="2" s="1"/>
  <c r="AX13" i="2"/>
  <c r="AW13" i="2"/>
  <c r="AW17" i="2" s="1"/>
  <c r="AV13" i="2"/>
  <c r="P13" i="2" s="1"/>
  <c r="AZ12" i="2"/>
  <c r="AY12" i="2"/>
  <c r="AX12" i="2"/>
  <c r="AW12" i="2"/>
  <c r="AV12" i="2"/>
  <c r="P12" i="2" s="1"/>
  <c r="AZ11" i="2"/>
  <c r="AY11" i="2"/>
  <c r="AX11" i="2"/>
  <c r="AW11" i="2"/>
  <c r="AV11" i="2"/>
  <c r="P11" i="2" s="1"/>
  <c r="AU12" i="2" l="1"/>
  <c r="AU13" i="2"/>
  <c r="O16" i="2"/>
  <c r="P17" i="2"/>
  <c r="AU11" i="2"/>
  <c r="O14" i="2"/>
  <c r="AU15" i="2"/>
  <c r="J11" i="8"/>
  <c r="J32" i="8"/>
  <c r="J42" i="8"/>
  <c r="AZ17" i="2"/>
  <c r="F32" i="8"/>
  <c r="F11" i="8"/>
  <c r="G32" i="8"/>
  <c r="G11" i="8"/>
  <c r="B42" i="8"/>
  <c r="B32" i="8"/>
  <c r="D42" i="8"/>
  <c r="D32" i="8"/>
  <c r="C42" i="8"/>
  <c r="C32" i="8"/>
  <c r="C11" i="8"/>
  <c r="E42" i="8"/>
  <c r="E32" i="8"/>
  <c r="H11" i="8"/>
  <c r="H32" i="8"/>
  <c r="H42" i="8"/>
  <c r="I32" i="8"/>
  <c r="I11" i="8"/>
  <c r="I42" i="8"/>
  <c r="K32" i="8"/>
  <c r="K11" i="8"/>
  <c r="K42" i="8"/>
  <c r="B11" i="8"/>
  <c r="D11" i="8"/>
  <c r="E11" i="8"/>
  <c r="F42" i="8"/>
  <c r="G42" i="8"/>
  <c r="B9" i="11"/>
  <c r="K9" i="11"/>
  <c r="J9" i="11"/>
  <c r="H9" i="11"/>
  <c r="D9" i="11"/>
  <c r="C9" i="11"/>
  <c r="E9" i="11"/>
  <c r="F9" i="11"/>
  <c r="G9" i="11"/>
  <c r="I9" i="11"/>
  <c r="N39" i="11"/>
  <c r="N28" i="11"/>
  <c r="B71" i="11"/>
  <c r="B70" i="11"/>
  <c r="B69" i="11"/>
  <c r="B83" i="11"/>
  <c r="B82" i="11"/>
  <c r="B81" i="11"/>
  <c r="B80" i="11"/>
  <c r="B79" i="11"/>
  <c r="B78" i="11"/>
  <c r="B77" i="11"/>
  <c r="B76" i="11"/>
  <c r="B75" i="11"/>
  <c r="B73" i="11"/>
  <c r="B72" i="11"/>
  <c r="K6" i="11" l="1"/>
  <c r="J6" i="11"/>
  <c r="I6" i="11"/>
  <c r="H6" i="11"/>
  <c r="G6" i="11"/>
  <c r="F6" i="11"/>
  <c r="D6" i="11"/>
  <c r="B6" i="11"/>
  <c r="E6" i="11"/>
  <c r="C6" i="11"/>
  <c r="H43" i="8"/>
  <c r="H33" i="8"/>
  <c r="H12" i="8"/>
  <c r="AT14" i="2"/>
  <c r="C4" i="11"/>
  <c r="K4" i="11"/>
  <c r="J4" i="11"/>
  <c r="I4" i="11"/>
  <c r="G4" i="11"/>
  <c r="B4" i="11"/>
  <c r="H4" i="11"/>
  <c r="F4" i="11"/>
  <c r="E4" i="11"/>
  <c r="D4" i="11"/>
  <c r="G18" i="11"/>
  <c r="K18" i="11"/>
  <c r="J18" i="11"/>
  <c r="I18" i="11"/>
  <c r="H18" i="11"/>
  <c r="F18" i="11"/>
  <c r="E18" i="11"/>
  <c r="C18" i="11"/>
  <c r="D18" i="11"/>
  <c r="B18" i="11"/>
  <c r="G12" i="8"/>
  <c r="G43" i="8"/>
  <c r="G33" i="8"/>
  <c r="K11" i="11"/>
  <c r="J11" i="11"/>
  <c r="I11" i="11"/>
  <c r="H11" i="11"/>
  <c r="G11" i="11"/>
  <c r="E11" i="11"/>
  <c r="B11" i="11"/>
  <c r="D11" i="11"/>
  <c r="C11" i="11"/>
  <c r="F11" i="11"/>
  <c r="C43" i="8"/>
  <c r="C12" i="8"/>
  <c r="C33" i="8"/>
  <c r="I5" i="11"/>
  <c r="G5" i="11"/>
  <c r="F5" i="11"/>
  <c r="E5" i="11"/>
  <c r="D5" i="11"/>
  <c r="C5" i="11"/>
  <c r="B5" i="11"/>
  <c r="J5" i="11"/>
  <c r="H5" i="11"/>
  <c r="K5" i="11"/>
  <c r="J43" i="8"/>
  <c r="J33" i="8"/>
  <c r="J12" i="8"/>
  <c r="AT16" i="2"/>
  <c r="E7" i="11"/>
  <c r="D7" i="11"/>
  <c r="C7" i="11"/>
  <c r="B7" i="11"/>
  <c r="K7" i="11"/>
  <c r="G7" i="11"/>
  <c r="J7" i="11"/>
  <c r="I7" i="11"/>
  <c r="H7" i="11"/>
  <c r="F7" i="11"/>
  <c r="AU17" i="2"/>
  <c r="O11" i="2"/>
  <c r="F33" i="8"/>
  <c r="F12" i="8"/>
  <c r="F43" i="8"/>
  <c r="O15" i="2"/>
  <c r="G10" i="11"/>
  <c r="I10" i="11"/>
  <c r="H10" i="11"/>
  <c r="F10" i="11"/>
  <c r="E10" i="11"/>
  <c r="D10" i="11"/>
  <c r="C10" i="11"/>
  <c r="B10" i="11"/>
  <c r="K10" i="11"/>
  <c r="J10" i="11"/>
  <c r="I13" i="11"/>
  <c r="K13" i="11"/>
  <c r="J13" i="11"/>
  <c r="H13" i="11"/>
  <c r="G13" i="11"/>
  <c r="F13" i="11"/>
  <c r="E13" i="11"/>
  <c r="D13" i="11"/>
  <c r="B13" i="11"/>
  <c r="C13" i="11"/>
  <c r="K43" i="8"/>
  <c r="K33" i="8"/>
  <c r="K12" i="8"/>
  <c r="E15" i="11"/>
  <c r="J15" i="11"/>
  <c r="I15" i="11"/>
  <c r="H15" i="11"/>
  <c r="G15" i="11"/>
  <c r="F15" i="11"/>
  <c r="D15" i="11"/>
  <c r="C15" i="11"/>
  <c r="B15" i="11"/>
  <c r="K15" i="11"/>
  <c r="O13" i="2"/>
  <c r="K8" i="11"/>
  <c r="J8" i="11"/>
  <c r="I8" i="11"/>
  <c r="H8" i="11"/>
  <c r="G8" i="11"/>
  <c r="F8" i="11"/>
  <c r="E8" i="11"/>
  <c r="D8" i="11"/>
  <c r="C8" i="11"/>
  <c r="B8" i="11"/>
  <c r="E12" i="8"/>
  <c r="E43" i="8"/>
  <c r="E33" i="8"/>
  <c r="D12" i="8"/>
  <c r="D33" i="8"/>
  <c r="D43" i="8"/>
  <c r="B12" i="8"/>
  <c r="B33" i="8"/>
  <c r="B43" i="8"/>
  <c r="K16" i="11"/>
  <c r="J16" i="11"/>
  <c r="I16" i="11"/>
  <c r="H16" i="11"/>
  <c r="F16" i="11"/>
  <c r="B16" i="11"/>
  <c r="D16" i="11"/>
  <c r="C16" i="11"/>
  <c r="G16" i="11"/>
  <c r="E16" i="11"/>
  <c r="C12" i="11"/>
  <c r="F12" i="11"/>
  <c r="E12" i="11"/>
  <c r="D12" i="11"/>
  <c r="B12" i="11"/>
  <c r="H12" i="11"/>
  <c r="J12" i="11"/>
  <c r="I12" i="11"/>
  <c r="G12" i="11"/>
  <c r="K12" i="11"/>
  <c r="C14" i="11"/>
  <c r="B14" i="11"/>
  <c r="K14" i="11"/>
  <c r="I14" i="11"/>
  <c r="E14" i="11"/>
  <c r="J14" i="11"/>
  <c r="H14" i="11"/>
  <c r="G14" i="11"/>
  <c r="F14" i="11"/>
  <c r="D14" i="11"/>
  <c r="G17" i="11"/>
  <c r="F17" i="11"/>
  <c r="E17" i="11"/>
  <c r="D17" i="11"/>
  <c r="C17" i="11"/>
  <c r="B17" i="11"/>
  <c r="I17" i="11"/>
  <c r="J17" i="11"/>
  <c r="H17" i="11"/>
  <c r="K17" i="11"/>
  <c r="I43" i="8"/>
  <c r="I33" i="8"/>
  <c r="I12" i="8"/>
  <c r="O12" i="2"/>
  <c r="H44" i="8" l="1"/>
  <c r="H34" i="8"/>
  <c r="H13" i="8"/>
  <c r="AT12" i="2"/>
  <c r="N14" i="2"/>
  <c r="I34" i="8"/>
  <c r="I13" i="8"/>
  <c r="I44" i="8"/>
  <c r="B44" i="8"/>
  <c r="B13" i="8"/>
  <c r="B34" i="8"/>
  <c r="K13" i="8"/>
  <c r="K44" i="8"/>
  <c r="K34" i="8"/>
  <c r="AT15" i="2"/>
  <c r="E44" i="8"/>
  <c r="E34" i="8"/>
  <c r="E13" i="8"/>
  <c r="C44" i="8"/>
  <c r="C13" i="8"/>
  <c r="C34" i="8"/>
  <c r="G44" i="8"/>
  <c r="G34" i="8"/>
  <c r="G13" i="8"/>
  <c r="N18" i="11"/>
  <c r="N41" i="11" s="1"/>
  <c r="F13" i="8"/>
  <c r="F44" i="8"/>
  <c r="F34" i="8"/>
  <c r="N16" i="2"/>
  <c r="D13" i="8"/>
  <c r="D44" i="8"/>
  <c r="D34" i="8"/>
  <c r="J13" i="8"/>
  <c r="J34" i="8"/>
  <c r="J44" i="8"/>
  <c r="O17" i="2"/>
  <c r="AT11" i="2"/>
  <c r="AT13" i="2"/>
  <c r="B35" i="8" l="1"/>
  <c r="B14" i="8"/>
  <c r="B45" i="8"/>
  <c r="F45" i="8"/>
  <c r="F35" i="8"/>
  <c r="F14" i="8"/>
  <c r="E45" i="8"/>
  <c r="E14" i="8"/>
  <c r="E35" i="8"/>
  <c r="N15" i="2"/>
  <c r="I45" i="8"/>
  <c r="I35" i="8"/>
  <c r="I14" i="8"/>
  <c r="C45" i="8"/>
  <c r="C35" i="8"/>
  <c r="C14" i="8"/>
  <c r="N12" i="2"/>
  <c r="AS16" i="2"/>
  <c r="G45" i="8"/>
  <c r="G35" i="8"/>
  <c r="G14" i="8"/>
  <c r="J45" i="8"/>
  <c r="J14" i="8"/>
  <c r="J35" i="8"/>
  <c r="H35" i="8"/>
  <c r="H45" i="8"/>
  <c r="H14" i="8"/>
  <c r="N13" i="2"/>
  <c r="AS14" i="2"/>
  <c r="K45" i="8"/>
  <c r="K14" i="8"/>
  <c r="K35" i="8"/>
  <c r="N11" i="2"/>
  <c r="AT17" i="2"/>
  <c r="D14" i="8"/>
  <c r="D45" i="8"/>
  <c r="D35" i="8"/>
  <c r="AS13" i="2" l="1"/>
  <c r="J46" i="8"/>
  <c r="J36" i="8"/>
  <c r="J15" i="8"/>
  <c r="AS11" i="2"/>
  <c r="N17" i="2"/>
  <c r="AS15" i="2"/>
  <c r="D36" i="8"/>
  <c r="D46" i="8"/>
  <c r="D15" i="8"/>
  <c r="K46" i="8"/>
  <c r="K36" i="8"/>
  <c r="K15" i="8"/>
  <c r="M14" i="2"/>
  <c r="H36" i="8"/>
  <c r="H46" i="8"/>
  <c r="H15" i="8"/>
  <c r="I46" i="8"/>
  <c r="I36" i="8"/>
  <c r="I15" i="8"/>
  <c r="G15" i="8"/>
  <c r="G46" i="8"/>
  <c r="G36" i="8"/>
  <c r="E36" i="8"/>
  <c r="E46" i="8"/>
  <c r="E15" i="8"/>
  <c r="F15" i="8"/>
  <c r="F36" i="8"/>
  <c r="F46" i="8"/>
  <c r="M16" i="2"/>
  <c r="AS12" i="2"/>
  <c r="B15" i="8"/>
  <c r="B46" i="8"/>
  <c r="B36" i="8"/>
  <c r="C15" i="8"/>
  <c r="C46" i="8"/>
  <c r="C36" i="8"/>
  <c r="F16" i="8" l="1"/>
  <c r="F47" i="8"/>
  <c r="F37" i="8"/>
  <c r="M15" i="2"/>
  <c r="I47" i="8"/>
  <c r="I16" i="8"/>
  <c r="I37" i="8"/>
  <c r="B47" i="8"/>
  <c r="B37" i="8"/>
  <c r="B16" i="8"/>
  <c r="K37" i="8"/>
  <c r="K16" i="8"/>
  <c r="K47" i="8"/>
  <c r="D37" i="8"/>
  <c r="D47" i="8"/>
  <c r="D16" i="8"/>
  <c r="G47" i="8"/>
  <c r="G16" i="8"/>
  <c r="G37" i="8"/>
  <c r="AS17" i="2"/>
  <c r="M11" i="2"/>
  <c r="H47" i="8"/>
  <c r="H16" i="8"/>
  <c r="H37" i="8"/>
  <c r="M12" i="2"/>
  <c r="E47" i="8"/>
  <c r="E37" i="8"/>
  <c r="E16" i="8"/>
  <c r="C47" i="8"/>
  <c r="C37" i="8"/>
  <c r="C16" i="8"/>
  <c r="J47" i="8"/>
  <c r="J37" i="8"/>
  <c r="J16" i="8"/>
  <c r="AR16" i="2"/>
  <c r="AR14" i="2"/>
  <c r="M13" i="2"/>
  <c r="E17" i="8" l="1"/>
  <c r="E38" i="8"/>
  <c r="E48" i="8"/>
  <c r="AR12" i="2"/>
  <c r="AR13" i="2"/>
  <c r="M17" i="2"/>
  <c r="AR11" i="2"/>
  <c r="I48" i="8"/>
  <c r="I38" i="8"/>
  <c r="I17" i="8"/>
  <c r="L16" i="2"/>
  <c r="J38" i="8"/>
  <c r="J17" i="8"/>
  <c r="J48" i="8"/>
  <c r="K38" i="8"/>
  <c r="K17" i="8"/>
  <c r="K48" i="8"/>
  <c r="B17" i="8"/>
  <c r="B38" i="8"/>
  <c r="B48" i="8"/>
  <c r="H48" i="8"/>
  <c r="H38" i="8"/>
  <c r="H17" i="8"/>
  <c r="L14" i="2"/>
  <c r="AR15" i="2"/>
  <c r="G48" i="8"/>
  <c r="G38" i="8"/>
  <c r="G17" i="8"/>
  <c r="C17" i="8"/>
  <c r="C48" i="8"/>
  <c r="C38" i="8"/>
  <c r="D38" i="8"/>
  <c r="D48" i="8"/>
  <c r="D17" i="8"/>
  <c r="F38" i="8"/>
  <c r="F48" i="8"/>
  <c r="F17" i="8"/>
  <c r="AQ16" i="2" l="1"/>
  <c r="J16" i="2"/>
  <c r="J7" i="2"/>
  <c r="L15" i="2"/>
  <c r="AQ14" i="2"/>
  <c r="J14" i="2"/>
  <c r="J5" i="2"/>
  <c r="I49" i="8"/>
  <c r="I18" i="8"/>
  <c r="I39" i="8"/>
  <c r="F39" i="8"/>
  <c r="F18" i="8"/>
  <c r="F49" i="8"/>
  <c r="H49" i="8"/>
  <c r="H18" i="8"/>
  <c r="H39" i="8"/>
  <c r="AR17" i="2"/>
  <c r="L11" i="2"/>
  <c r="D49" i="8"/>
  <c r="D18" i="8"/>
  <c r="D39" i="8"/>
  <c r="B49" i="8"/>
  <c r="B18" i="8"/>
  <c r="B39" i="8"/>
  <c r="L13" i="2"/>
  <c r="L12" i="2"/>
  <c r="K18" i="8"/>
  <c r="K49" i="8"/>
  <c r="K39" i="8"/>
  <c r="C39" i="8"/>
  <c r="C18" i="8"/>
  <c r="C49" i="8"/>
  <c r="G49" i="8"/>
  <c r="G18" i="8"/>
  <c r="G39" i="8"/>
  <c r="J39" i="8"/>
  <c r="J18" i="8"/>
  <c r="J49" i="8"/>
  <c r="E39" i="8"/>
  <c r="E18" i="8"/>
  <c r="E49" i="8"/>
  <c r="J13" i="2" l="1"/>
  <c r="J4" i="2"/>
  <c r="AQ13" i="2"/>
  <c r="I40" i="8"/>
  <c r="I19" i="8"/>
  <c r="I50" i="8"/>
  <c r="AQ11" i="2"/>
  <c r="J2" i="2"/>
  <c r="J11" i="2"/>
  <c r="L17" i="2"/>
  <c r="AQ15" i="2"/>
  <c r="J15" i="2"/>
  <c r="J6" i="2"/>
  <c r="AQ12" i="2"/>
  <c r="J12" i="2"/>
  <c r="J3" i="2"/>
  <c r="F50" i="8"/>
  <c r="F19" i="8"/>
  <c r="F40" i="8"/>
  <c r="E50" i="8"/>
  <c r="E40" i="8"/>
  <c r="E19" i="8"/>
  <c r="J19" i="8"/>
  <c r="J50" i="8"/>
  <c r="J40" i="8"/>
  <c r="B50" i="8"/>
  <c r="B40" i="8"/>
  <c r="B19" i="8"/>
  <c r="G50" i="8"/>
  <c r="G19" i="8"/>
  <c r="G40" i="8"/>
  <c r="D50" i="8"/>
  <c r="D40" i="8"/>
  <c r="D19" i="8"/>
  <c r="K14" i="2"/>
  <c r="I14" i="2" s="1"/>
  <c r="AK14" i="2"/>
  <c r="C50" i="8"/>
  <c r="C40" i="8"/>
  <c r="C19" i="8"/>
  <c r="J18" i="4"/>
  <c r="H16" i="2"/>
  <c r="H19" i="8"/>
  <c r="H50" i="8"/>
  <c r="H40" i="8"/>
  <c r="K50" i="8"/>
  <c r="K40" i="8"/>
  <c r="K19" i="8"/>
  <c r="K16" i="2"/>
  <c r="I16" i="2" s="1"/>
  <c r="AK16" i="2"/>
  <c r="H7" i="2" l="1"/>
  <c r="F16" i="2"/>
  <c r="F7" i="2" s="1"/>
  <c r="K15" i="2"/>
  <c r="I15" i="2" s="1"/>
  <c r="AK15" i="2"/>
  <c r="J16" i="4"/>
  <c r="J19" i="4"/>
  <c r="J17" i="4"/>
  <c r="J2" i="4"/>
  <c r="J3" i="4" s="1"/>
  <c r="J4" i="4" s="1"/>
  <c r="J5" i="4" s="1"/>
  <c r="J6" i="4" s="1"/>
  <c r="J7" i="4" s="1"/>
  <c r="J8" i="4" s="1"/>
  <c r="J9" i="4" s="1"/>
  <c r="J10" i="4" s="1"/>
  <c r="J8" i="2"/>
  <c r="J15" i="4"/>
  <c r="H51" i="8"/>
  <c r="H41" i="8"/>
  <c r="H15" i="2"/>
  <c r="J51" i="8"/>
  <c r="J41" i="8"/>
  <c r="G14" i="2"/>
  <c r="G5" i="2" s="1"/>
  <c r="I5" i="2"/>
  <c r="AJ16" i="2"/>
  <c r="AQ17" i="2"/>
  <c r="K11" i="2"/>
  <c r="AK11" i="2"/>
  <c r="F51" i="8"/>
  <c r="F41" i="8"/>
  <c r="G51" i="8"/>
  <c r="G41" i="8"/>
  <c r="B41" i="8"/>
  <c r="B51" i="8"/>
  <c r="J17" i="6"/>
  <c r="J49" i="6" s="1"/>
  <c r="J50" i="4"/>
  <c r="J40" i="4"/>
  <c r="AJ14" i="2"/>
  <c r="G16" i="2"/>
  <c r="G7" i="2" s="1"/>
  <c r="I7" i="2"/>
  <c r="I51" i="8"/>
  <c r="I41" i="8"/>
  <c r="K12" i="2"/>
  <c r="I12" i="2" s="1"/>
  <c r="AK12" i="2"/>
  <c r="C51" i="8"/>
  <c r="C41" i="8"/>
  <c r="J17" i="2"/>
  <c r="H11" i="2"/>
  <c r="E41" i="8"/>
  <c r="E51" i="8"/>
  <c r="D41" i="8"/>
  <c r="D51" i="8"/>
  <c r="K51" i="8"/>
  <c r="K41" i="8"/>
  <c r="K13" i="2"/>
  <c r="I13" i="2" s="1"/>
  <c r="AK13" i="2"/>
  <c r="H14" i="2"/>
  <c r="H13" i="2"/>
  <c r="H2" i="2" l="1"/>
  <c r="H6" i="2"/>
  <c r="F15" i="2"/>
  <c r="F6" i="2" s="1"/>
  <c r="J11" i="4"/>
  <c r="J42" i="4"/>
  <c r="J32" i="4"/>
  <c r="I4" i="2"/>
  <c r="G13" i="2"/>
  <c r="G4" i="2" s="1"/>
  <c r="D14" i="2"/>
  <c r="D5" i="2" s="1"/>
  <c r="AI14" i="2"/>
  <c r="E12" i="2"/>
  <c r="E3" i="2" s="1"/>
  <c r="AJ12" i="2"/>
  <c r="I3" i="2"/>
  <c r="G12" i="2"/>
  <c r="G3" i="2" s="1"/>
  <c r="H5" i="2"/>
  <c r="F14" i="2"/>
  <c r="F5" i="2" s="1"/>
  <c r="AJ13" i="2"/>
  <c r="H12" i="2"/>
  <c r="AK17" i="2"/>
  <c r="AJ11" i="2"/>
  <c r="J19" i="9"/>
  <c r="V19" i="9" s="1"/>
  <c r="J19" i="7"/>
  <c r="V19" i="7" s="1"/>
  <c r="J18" i="6"/>
  <c r="J50" i="6" s="1"/>
  <c r="J41" i="4"/>
  <c r="J19" i="5"/>
  <c r="J51" i="4"/>
  <c r="AJ15" i="2"/>
  <c r="E14" i="2"/>
  <c r="E5" i="2" s="1"/>
  <c r="E16" i="2"/>
  <c r="E7" i="2" s="1"/>
  <c r="G15" i="2"/>
  <c r="G6" i="2" s="1"/>
  <c r="I6" i="2"/>
  <c r="H4" i="2"/>
  <c r="F13" i="2"/>
  <c r="F4" i="2" s="1"/>
  <c r="J14" i="6"/>
  <c r="J46" i="6" s="1"/>
  <c r="J47" i="4"/>
  <c r="J37" i="4"/>
  <c r="J16" i="6"/>
  <c r="J48" i="6" s="1"/>
  <c r="J49" i="4"/>
  <c r="J39" i="4"/>
  <c r="K17" i="2"/>
  <c r="I11" i="2"/>
  <c r="J15" i="6"/>
  <c r="J47" i="6" s="1"/>
  <c r="J38" i="4"/>
  <c r="J48" i="4"/>
  <c r="D16" i="2"/>
  <c r="D7" i="2" s="1"/>
  <c r="AI16" i="2"/>
  <c r="C16" i="2" l="1"/>
  <c r="C7" i="2" s="1"/>
  <c r="AH16" i="2"/>
  <c r="AI12" i="2"/>
  <c r="C14" i="2"/>
  <c r="C5" i="2" s="1"/>
  <c r="AH14" i="2"/>
  <c r="H3" i="2"/>
  <c r="H18" i="4" s="1"/>
  <c r="F12" i="2"/>
  <c r="F3" i="2" s="1"/>
  <c r="D13" i="2"/>
  <c r="D4" i="2" s="1"/>
  <c r="AI13" i="2"/>
  <c r="D15" i="2"/>
  <c r="D6" i="2" s="1"/>
  <c r="AI15" i="2"/>
  <c r="H15" i="4"/>
  <c r="V19" i="5"/>
  <c r="AJ17" i="2"/>
  <c r="D11" i="2"/>
  <c r="AI11" i="2"/>
  <c r="J33" i="4"/>
  <c r="J43" i="4"/>
  <c r="J12" i="4"/>
  <c r="E13" i="2"/>
  <c r="E4" i="2" s="1"/>
  <c r="I17" i="2"/>
  <c r="G11" i="2"/>
  <c r="I2" i="2"/>
  <c r="E15" i="2"/>
  <c r="E6" i="2" s="1"/>
  <c r="F11" i="2"/>
  <c r="J51" i="9"/>
  <c r="J51" i="7"/>
  <c r="J51" i="5"/>
  <c r="H17" i="2"/>
  <c r="D2" i="2" l="1"/>
  <c r="B14" i="2"/>
  <c r="B5" i="2" s="1"/>
  <c r="AG14" i="2"/>
  <c r="K5" i="2" s="1"/>
  <c r="AI17" i="2"/>
  <c r="AH11" i="2"/>
  <c r="F2" i="2"/>
  <c r="F17" i="2"/>
  <c r="H17" i="4"/>
  <c r="H16" i="4"/>
  <c r="J18" i="3"/>
  <c r="C13" i="2"/>
  <c r="C4" i="2" s="1"/>
  <c r="AH13" i="2"/>
  <c r="I16" i="4"/>
  <c r="I19" i="4"/>
  <c r="I17" i="4"/>
  <c r="I8" i="2"/>
  <c r="I2" i="4"/>
  <c r="I3" i="4" s="1"/>
  <c r="I4" i="4" s="1"/>
  <c r="I5" i="4" s="1"/>
  <c r="I6" i="4" s="1"/>
  <c r="I7" i="4" s="1"/>
  <c r="I8" i="4" s="1"/>
  <c r="I9" i="4" s="1"/>
  <c r="I10" i="4" s="1"/>
  <c r="I15" i="4"/>
  <c r="I18" i="4"/>
  <c r="G17" i="2"/>
  <c r="G2" i="2"/>
  <c r="E11" i="2"/>
  <c r="H2" i="4"/>
  <c r="H3" i="4" s="1"/>
  <c r="H4" i="4" s="1"/>
  <c r="H5" i="4" s="1"/>
  <c r="H6" i="4" s="1"/>
  <c r="H7" i="4" s="1"/>
  <c r="H8" i="4" s="1"/>
  <c r="H9" i="4" s="1"/>
  <c r="H10" i="4" s="1"/>
  <c r="B16" i="2"/>
  <c r="B7" i="2" s="1"/>
  <c r="AG16" i="2"/>
  <c r="K7" i="2" s="1"/>
  <c r="H17" i="6"/>
  <c r="H49" i="6" s="1"/>
  <c r="H50" i="4"/>
  <c r="H40" i="4"/>
  <c r="H8" i="2"/>
  <c r="H47" i="4"/>
  <c r="H37" i="4"/>
  <c r="H19" i="4"/>
  <c r="C12" i="2"/>
  <c r="C3" i="2" s="1"/>
  <c r="AH12" i="2"/>
  <c r="J13" i="4"/>
  <c r="J44" i="4"/>
  <c r="J34" i="4"/>
  <c r="D12" i="2"/>
  <c r="D3" i="2" s="1"/>
  <c r="C15" i="2"/>
  <c r="C6" i="2" s="1"/>
  <c r="AH15" i="2"/>
  <c r="I15" i="6" l="1"/>
  <c r="I47" i="6" s="1"/>
  <c r="I48" i="4"/>
  <c r="I38" i="4"/>
  <c r="H38" i="4"/>
  <c r="H15" i="6"/>
  <c r="H47" i="6" s="1"/>
  <c r="H48" i="4"/>
  <c r="F15" i="4"/>
  <c r="F2" i="4"/>
  <c r="F3" i="4" s="1"/>
  <c r="F4" i="4" s="1"/>
  <c r="F5" i="4" s="1"/>
  <c r="F6" i="4" s="1"/>
  <c r="F7" i="4" s="1"/>
  <c r="F8" i="4" s="1"/>
  <c r="F9" i="4" s="1"/>
  <c r="F10" i="4" s="1"/>
  <c r="F16" i="4"/>
  <c r="F19" i="4"/>
  <c r="F17" i="4"/>
  <c r="F8" i="2"/>
  <c r="F18" i="4"/>
  <c r="B13" i="2"/>
  <c r="B4" i="2" s="1"/>
  <c r="AG13" i="2"/>
  <c r="K4" i="2" s="1"/>
  <c r="E17" i="2"/>
  <c r="E2" i="2"/>
  <c r="G2" i="4"/>
  <c r="G3" i="4" s="1"/>
  <c r="G4" i="4" s="1"/>
  <c r="G5" i="4" s="1"/>
  <c r="G6" i="4" s="1"/>
  <c r="G7" i="4" s="1"/>
  <c r="G8" i="4" s="1"/>
  <c r="G9" i="4" s="1"/>
  <c r="G10" i="4" s="1"/>
  <c r="G16" i="4"/>
  <c r="G19" i="4"/>
  <c r="G17" i="4"/>
  <c r="G8" i="2"/>
  <c r="G15" i="4"/>
  <c r="G18" i="4"/>
  <c r="I17" i="6"/>
  <c r="I49" i="6" s="1"/>
  <c r="I50" i="4"/>
  <c r="I40" i="4"/>
  <c r="B15" i="2"/>
  <c r="B6" i="2" s="1"/>
  <c r="AG15" i="2"/>
  <c r="K6" i="2" s="1"/>
  <c r="I14" i="6"/>
  <c r="I46" i="6" s="1"/>
  <c r="I47" i="4"/>
  <c r="I37" i="4"/>
  <c r="H11" i="4"/>
  <c r="H42" i="4"/>
  <c r="H32" i="4"/>
  <c r="C11" i="2"/>
  <c r="I16" i="6"/>
  <c r="I48" i="6" s="1"/>
  <c r="I49" i="4"/>
  <c r="I39" i="4"/>
  <c r="D15" i="4"/>
  <c r="D2" i="4"/>
  <c r="D3" i="4" s="1"/>
  <c r="D4" i="4" s="1"/>
  <c r="D5" i="4" s="1"/>
  <c r="D6" i="4" s="1"/>
  <c r="D7" i="4" s="1"/>
  <c r="D8" i="4" s="1"/>
  <c r="D9" i="4" s="1"/>
  <c r="D10" i="4" s="1"/>
  <c r="D16" i="4"/>
  <c r="D17" i="4"/>
  <c r="D8" i="2"/>
  <c r="D19" i="4"/>
  <c r="D18" i="4"/>
  <c r="J18" i="9"/>
  <c r="V18" i="9" s="1"/>
  <c r="J18" i="7"/>
  <c r="J50" i="3"/>
  <c r="J18" i="5"/>
  <c r="J14" i="4"/>
  <c r="J45" i="4"/>
  <c r="J35" i="4"/>
  <c r="J2" i="6" s="1"/>
  <c r="J8" i="6"/>
  <c r="J10" i="6"/>
  <c r="J42" i="6" s="1"/>
  <c r="H16" i="6"/>
  <c r="H48" i="6" s="1"/>
  <c r="H49" i="4"/>
  <c r="H39" i="4"/>
  <c r="B12" i="2"/>
  <c r="B3" i="2" s="1"/>
  <c r="AG12" i="2"/>
  <c r="K3" i="2" s="1"/>
  <c r="AH17" i="2"/>
  <c r="B11" i="2"/>
  <c r="AG11" i="2"/>
  <c r="H19" i="9"/>
  <c r="T19" i="9" s="1"/>
  <c r="H18" i="6"/>
  <c r="H50" i="6" s="1"/>
  <c r="H19" i="5"/>
  <c r="H41" i="4"/>
  <c r="H19" i="7"/>
  <c r="T19" i="7" s="1"/>
  <c r="H51" i="4"/>
  <c r="I11" i="4"/>
  <c r="I42" i="4"/>
  <c r="I32" i="4"/>
  <c r="H14" i="6"/>
  <c r="H46" i="6" s="1"/>
  <c r="J7" i="6"/>
  <c r="I19" i="9"/>
  <c r="U19" i="9" s="1"/>
  <c r="I18" i="6"/>
  <c r="I50" i="6" s="1"/>
  <c r="I19" i="7"/>
  <c r="U19" i="7" s="1"/>
  <c r="I19" i="5"/>
  <c r="I41" i="4"/>
  <c r="I51" i="4"/>
  <c r="D17" i="2"/>
  <c r="H33" i="4" l="1"/>
  <c r="H43" i="4"/>
  <c r="H12" i="4"/>
  <c r="G17" i="6"/>
  <c r="G49" i="6" s="1"/>
  <c r="G50" i="4"/>
  <c r="G40" i="4"/>
  <c r="J32" i="6"/>
  <c r="C2" i="2"/>
  <c r="C17" i="2"/>
  <c r="D19" i="9"/>
  <c r="P19" i="9" s="1"/>
  <c r="D19" i="7"/>
  <c r="P19" i="7" s="1"/>
  <c r="D18" i="6"/>
  <c r="D50" i="6" s="1"/>
  <c r="D51" i="4"/>
  <c r="D19" i="5"/>
  <c r="D41" i="4"/>
  <c r="F19" i="7"/>
  <c r="R19" i="7" s="1"/>
  <c r="F18" i="6"/>
  <c r="F50" i="6" s="1"/>
  <c r="F19" i="9"/>
  <c r="R19" i="9" s="1"/>
  <c r="F51" i="4"/>
  <c r="F19" i="5"/>
  <c r="F41" i="4"/>
  <c r="G14" i="6"/>
  <c r="G46" i="6" s="1"/>
  <c r="G47" i="4"/>
  <c r="G37" i="4"/>
  <c r="D17" i="6"/>
  <c r="D49" i="6" s="1"/>
  <c r="D40" i="4"/>
  <c r="D50" i="4"/>
  <c r="G19" i="9"/>
  <c r="S19" i="9" s="1"/>
  <c r="G19" i="7"/>
  <c r="S19" i="7" s="1"/>
  <c r="G18" i="6"/>
  <c r="G50" i="6" s="1"/>
  <c r="G19" i="5"/>
  <c r="G41" i="4"/>
  <c r="G51" i="4"/>
  <c r="G38" i="4"/>
  <c r="G15" i="6"/>
  <c r="G47" i="6" s="1"/>
  <c r="G48" i="4"/>
  <c r="F11" i="4"/>
  <c r="F32" i="4"/>
  <c r="F42" i="4"/>
  <c r="I33" i="4"/>
  <c r="I43" i="4"/>
  <c r="I12" i="4"/>
  <c r="J11" i="10"/>
  <c r="D16" i="6"/>
  <c r="D48" i="6" s="1"/>
  <c r="D49" i="4"/>
  <c r="D39" i="4"/>
  <c r="F16" i="6"/>
  <c r="F48" i="6" s="1"/>
  <c r="F49" i="4"/>
  <c r="F39" i="4"/>
  <c r="G16" i="6"/>
  <c r="G48" i="6" s="1"/>
  <c r="G49" i="4"/>
  <c r="G39" i="4"/>
  <c r="E15" i="4"/>
  <c r="E2" i="4"/>
  <c r="E3" i="4" s="1"/>
  <c r="E4" i="4" s="1"/>
  <c r="E5" i="4" s="1"/>
  <c r="E6" i="4" s="1"/>
  <c r="E7" i="4" s="1"/>
  <c r="E8" i="4" s="1"/>
  <c r="E9" i="4" s="1"/>
  <c r="E10" i="4" s="1"/>
  <c r="E16" i="4"/>
  <c r="E19" i="4"/>
  <c r="E17" i="4"/>
  <c r="E8" i="2"/>
  <c r="E18" i="4"/>
  <c r="D32" i="4"/>
  <c r="D11" i="4"/>
  <c r="D42" i="4"/>
  <c r="V18" i="5"/>
  <c r="D14" i="6"/>
  <c r="D46" i="6" s="1"/>
  <c r="D37" i="4"/>
  <c r="D47" i="4"/>
  <c r="T19" i="5"/>
  <c r="G11" i="4"/>
  <c r="G42" i="4"/>
  <c r="G32" i="4"/>
  <c r="I51" i="7"/>
  <c r="I51" i="9"/>
  <c r="I51" i="5"/>
  <c r="J50" i="9"/>
  <c r="J50" i="7"/>
  <c r="J50" i="5"/>
  <c r="F38" i="4"/>
  <c r="F15" i="6"/>
  <c r="F47" i="6" s="1"/>
  <c r="F48" i="4"/>
  <c r="F14" i="6"/>
  <c r="F46" i="6" s="1"/>
  <c r="F47" i="4"/>
  <c r="F37" i="4"/>
  <c r="J4" i="6"/>
  <c r="J36" i="4"/>
  <c r="J3" i="6" s="1"/>
  <c r="J13" i="6"/>
  <c r="J45" i="6" s="1"/>
  <c r="J46" i="4"/>
  <c r="J5" i="6"/>
  <c r="J11" i="6"/>
  <c r="J43" i="6" s="1"/>
  <c r="J9" i="6"/>
  <c r="J6" i="6"/>
  <c r="D48" i="4"/>
  <c r="D38" i="4"/>
  <c r="D15" i="6"/>
  <c r="D47" i="6" s="1"/>
  <c r="U19" i="5"/>
  <c r="J12" i="6"/>
  <c r="J44" i="6" s="1"/>
  <c r="AG17" i="2"/>
  <c r="K2" i="2"/>
  <c r="B2" i="2"/>
  <c r="B17" i="2"/>
  <c r="V18" i="7"/>
  <c r="F17" i="6"/>
  <c r="F49" i="6" s="1"/>
  <c r="F40" i="4"/>
  <c r="F50" i="4"/>
  <c r="H51" i="7"/>
  <c r="H51" i="5"/>
  <c r="H51" i="9"/>
  <c r="J33" i="6"/>
  <c r="E15" i="6" l="1"/>
  <c r="E47" i="6" s="1"/>
  <c r="E38" i="4"/>
  <c r="E48" i="4"/>
  <c r="C15" i="4"/>
  <c r="C2" i="4"/>
  <c r="C3" i="4" s="1"/>
  <c r="C4" i="4" s="1"/>
  <c r="C5" i="4" s="1"/>
  <c r="C6" i="4" s="1"/>
  <c r="C7" i="4" s="1"/>
  <c r="C8" i="4" s="1"/>
  <c r="C9" i="4" s="1"/>
  <c r="C10" i="4" s="1"/>
  <c r="C16" i="4"/>
  <c r="C17" i="4"/>
  <c r="C8" i="2"/>
  <c r="C19" i="4"/>
  <c r="C18" i="4"/>
  <c r="R19" i="5"/>
  <c r="S19" i="5"/>
  <c r="H13" i="4"/>
  <c r="H44" i="4"/>
  <c r="H34" i="4"/>
  <c r="P19" i="5"/>
  <c r="E14" i="6"/>
  <c r="E46" i="6" s="1"/>
  <c r="E47" i="4"/>
  <c r="E37" i="4"/>
  <c r="D51" i="7"/>
  <c r="D51" i="9"/>
  <c r="D51" i="5"/>
  <c r="I18" i="3"/>
  <c r="G51" i="9"/>
  <c r="G51" i="7"/>
  <c r="G51" i="5"/>
  <c r="B17" i="4"/>
  <c r="B15" i="4"/>
  <c r="B2" i="4"/>
  <c r="B3" i="4" s="1"/>
  <c r="B4" i="4" s="1"/>
  <c r="B5" i="4" s="1"/>
  <c r="B6" i="4" s="1"/>
  <c r="B7" i="4" s="1"/>
  <c r="B8" i="4" s="1"/>
  <c r="B9" i="4" s="1"/>
  <c r="B10" i="4" s="1"/>
  <c r="B16" i="4"/>
  <c r="B8" i="2"/>
  <c r="B19" i="4"/>
  <c r="B18" i="4"/>
  <c r="D12" i="4"/>
  <c r="D43" i="4"/>
  <c r="D33" i="4"/>
  <c r="J36" i="6"/>
  <c r="J37" i="6"/>
  <c r="J38" i="6"/>
  <c r="J41" i="6"/>
  <c r="J39" i="6"/>
  <c r="J40" i="6"/>
  <c r="F43" i="4"/>
  <c r="F33" i="4"/>
  <c r="F12" i="4"/>
  <c r="K16" i="4"/>
  <c r="K19" i="4"/>
  <c r="K17" i="4"/>
  <c r="K8" i="2"/>
  <c r="K15" i="4"/>
  <c r="K2" i="4"/>
  <c r="K3" i="4" s="1"/>
  <c r="K4" i="4" s="1"/>
  <c r="K5" i="4" s="1"/>
  <c r="K6" i="4" s="1"/>
  <c r="K7" i="4" s="1"/>
  <c r="K8" i="4" s="1"/>
  <c r="K9" i="4" s="1"/>
  <c r="K10" i="4" s="1"/>
  <c r="K18" i="4"/>
  <c r="I13" i="4"/>
  <c r="I44" i="4"/>
  <c r="I34" i="4"/>
  <c r="H18" i="3"/>
  <c r="E16" i="6"/>
  <c r="E48" i="6" s="1"/>
  <c r="E49" i="4"/>
  <c r="E39" i="4"/>
  <c r="E11" i="4"/>
  <c r="E42" i="4"/>
  <c r="E32" i="4"/>
  <c r="F51" i="5"/>
  <c r="F51" i="7"/>
  <c r="F51" i="9"/>
  <c r="J17" i="3"/>
  <c r="J35" i="6"/>
  <c r="E17" i="6"/>
  <c r="E49" i="6" s="1"/>
  <c r="E50" i="4"/>
  <c r="E40" i="4"/>
  <c r="G33" i="4"/>
  <c r="G12" i="4"/>
  <c r="G43" i="4"/>
  <c r="E19" i="7"/>
  <c r="Q19" i="7" s="1"/>
  <c r="E51" i="4"/>
  <c r="E19" i="5"/>
  <c r="E41" i="4"/>
  <c r="E19" i="9"/>
  <c r="Q19" i="9" s="1"/>
  <c r="E18" i="6"/>
  <c r="E50" i="6" s="1"/>
  <c r="J34" i="6"/>
  <c r="B16" i="6" l="1"/>
  <c r="B48" i="6" s="1"/>
  <c r="B49" i="4"/>
  <c r="B39" i="4"/>
  <c r="G18" i="3"/>
  <c r="K16" i="6"/>
  <c r="K48" i="6" s="1"/>
  <c r="K39" i="4"/>
  <c r="K49" i="4"/>
  <c r="C17" i="6"/>
  <c r="C49" i="6" s="1"/>
  <c r="C40" i="4"/>
  <c r="C50" i="4"/>
  <c r="C19" i="9"/>
  <c r="O19" i="9" s="1"/>
  <c r="C19" i="7"/>
  <c r="O19" i="7" s="1"/>
  <c r="C18" i="6"/>
  <c r="C50" i="6" s="1"/>
  <c r="C51" i="4"/>
  <c r="C19" i="5"/>
  <c r="C41" i="4"/>
  <c r="I18" i="7"/>
  <c r="I18" i="9"/>
  <c r="U18" i="9" s="1"/>
  <c r="I50" i="3"/>
  <c r="I18" i="5"/>
  <c r="B19" i="9"/>
  <c r="N19" i="9" s="1"/>
  <c r="B19" i="5"/>
  <c r="B19" i="7"/>
  <c r="N19" i="7" s="1"/>
  <c r="B18" i="6"/>
  <c r="B50" i="6" s="1"/>
  <c r="B51" i="4"/>
  <c r="B41" i="4"/>
  <c r="H18" i="7"/>
  <c r="H18" i="9"/>
  <c r="T18" i="9" s="1"/>
  <c r="H50" i="3"/>
  <c r="H18" i="5"/>
  <c r="K19" i="9"/>
  <c r="W19" i="9" s="1"/>
  <c r="K19" i="7"/>
  <c r="W19" i="7" s="1"/>
  <c r="K18" i="6"/>
  <c r="K50" i="6" s="1"/>
  <c r="K19" i="5"/>
  <c r="K51" i="4"/>
  <c r="K41" i="4"/>
  <c r="K15" i="6"/>
  <c r="K47" i="6" s="1"/>
  <c r="K48" i="4"/>
  <c r="K38" i="4"/>
  <c r="I14" i="4"/>
  <c r="I45" i="4"/>
  <c r="I35" i="4"/>
  <c r="I2" i="6" s="1"/>
  <c r="B17" i="6"/>
  <c r="B49" i="6" s="1"/>
  <c r="B40" i="4"/>
  <c r="B50" i="4"/>
  <c r="C16" i="6"/>
  <c r="C48" i="6" s="1"/>
  <c r="C49" i="4"/>
  <c r="C39" i="4"/>
  <c r="E43" i="4"/>
  <c r="E33" i="4"/>
  <c r="E12" i="4"/>
  <c r="D13" i="4"/>
  <c r="D44" i="4"/>
  <c r="D34" i="4"/>
  <c r="J17" i="9"/>
  <c r="V17" i="9" s="1"/>
  <c r="J17" i="5"/>
  <c r="J17" i="7"/>
  <c r="J49" i="3"/>
  <c r="K17" i="6"/>
  <c r="K49" i="6" s="1"/>
  <c r="K50" i="4"/>
  <c r="K40" i="4"/>
  <c r="B15" i="6"/>
  <c r="B47" i="6" s="1"/>
  <c r="B48" i="4"/>
  <c r="B38" i="4"/>
  <c r="C15" i="6"/>
  <c r="C47" i="6" s="1"/>
  <c r="C48" i="4"/>
  <c r="C38" i="4"/>
  <c r="F13" i="4"/>
  <c r="F44" i="4"/>
  <c r="F34" i="4"/>
  <c r="I8" i="6"/>
  <c r="B32" i="4"/>
  <c r="B42" i="4"/>
  <c r="B11" i="4"/>
  <c r="C32" i="4"/>
  <c r="C42" i="4"/>
  <c r="C11" i="4"/>
  <c r="I7" i="6"/>
  <c r="Q19" i="5"/>
  <c r="E51" i="9"/>
  <c r="E51" i="7"/>
  <c r="E51" i="5"/>
  <c r="D18" i="3"/>
  <c r="K11" i="4"/>
  <c r="K42" i="4"/>
  <c r="K32" i="4"/>
  <c r="G13" i="4"/>
  <c r="G44" i="4"/>
  <c r="G34" i="4"/>
  <c r="F18" i="3"/>
  <c r="K14" i="6"/>
  <c r="K46" i="6" s="1"/>
  <c r="K47" i="4"/>
  <c r="K37" i="4"/>
  <c r="B14" i="6"/>
  <c r="B46" i="6" s="1"/>
  <c r="B37" i="4"/>
  <c r="B47" i="4"/>
  <c r="H14" i="4"/>
  <c r="H35" i="4"/>
  <c r="H45" i="4"/>
  <c r="H5" i="6"/>
  <c r="C14" i="6"/>
  <c r="C46" i="6" s="1"/>
  <c r="C37" i="4"/>
  <c r="C47" i="4"/>
  <c r="D35" i="4" l="1"/>
  <c r="D45" i="4"/>
  <c r="D14" i="4"/>
  <c r="D9" i="6"/>
  <c r="D8" i="6"/>
  <c r="D5" i="6"/>
  <c r="I50" i="7"/>
  <c r="I50" i="9"/>
  <c r="I50" i="5"/>
  <c r="D10" i="6"/>
  <c r="D42" i="6" s="1"/>
  <c r="I4" i="6"/>
  <c r="I36" i="4"/>
  <c r="I46" i="4"/>
  <c r="I13" i="6"/>
  <c r="I45" i="6" s="1"/>
  <c r="I9" i="6"/>
  <c r="I11" i="6"/>
  <c r="I43" i="6" s="1"/>
  <c r="I6" i="6"/>
  <c r="I5" i="6"/>
  <c r="I33" i="6"/>
  <c r="J49" i="9"/>
  <c r="J49" i="7"/>
  <c r="J49" i="5"/>
  <c r="I12" i="6"/>
  <c r="I44" i="6" s="1"/>
  <c r="D7" i="6"/>
  <c r="I10" i="6"/>
  <c r="I42" i="6" s="1"/>
  <c r="U18" i="7"/>
  <c r="H4" i="6"/>
  <c r="H46" i="4"/>
  <c r="H36" i="6" s="1"/>
  <c r="H36" i="4"/>
  <c r="H3" i="6" s="1"/>
  <c r="H13" i="6"/>
  <c r="H45" i="6" s="1"/>
  <c r="H9" i="6"/>
  <c r="H8" i="6"/>
  <c r="H11" i="6"/>
  <c r="H43" i="6" s="1"/>
  <c r="H7" i="6"/>
  <c r="H10" i="6"/>
  <c r="H42" i="6" s="1"/>
  <c r="H6" i="6"/>
  <c r="U18" i="5"/>
  <c r="D11" i="6"/>
  <c r="D43" i="6" s="1"/>
  <c r="H12" i="6"/>
  <c r="H44" i="6" s="1"/>
  <c r="C12" i="4"/>
  <c r="C43" i="4"/>
  <c r="C33" i="4"/>
  <c r="O19" i="5"/>
  <c r="F18" i="9"/>
  <c r="R18" i="9" s="1"/>
  <c r="F18" i="5"/>
  <c r="F18" i="7"/>
  <c r="F50" i="3"/>
  <c r="H40" i="6"/>
  <c r="H39" i="6"/>
  <c r="H2" i="6"/>
  <c r="H33" i="6"/>
  <c r="H11" i="10"/>
  <c r="J18" i="12"/>
  <c r="J18" i="13" s="1"/>
  <c r="V17" i="7"/>
  <c r="K12" i="4"/>
  <c r="K43" i="4"/>
  <c r="K33" i="4"/>
  <c r="B51" i="5"/>
  <c r="B51" i="9"/>
  <c r="B51" i="7"/>
  <c r="C51" i="5"/>
  <c r="C51" i="9"/>
  <c r="C51" i="7"/>
  <c r="I34" i="6"/>
  <c r="H50" i="9"/>
  <c r="H50" i="7"/>
  <c r="H50" i="5"/>
  <c r="T18" i="7"/>
  <c r="V17" i="5"/>
  <c r="B12" i="4"/>
  <c r="B43" i="4"/>
  <c r="B33" i="4"/>
  <c r="D18" i="9"/>
  <c r="P18" i="9" s="1"/>
  <c r="D18" i="7"/>
  <c r="D18" i="5"/>
  <c r="D50" i="3"/>
  <c r="D6" i="6"/>
  <c r="K51" i="9"/>
  <c r="K51" i="5"/>
  <c r="K51" i="7"/>
  <c r="N19" i="5"/>
  <c r="T18" i="5"/>
  <c r="I35" i="6"/>
  <c r="I38" i="6"/>
  <c r="I37" i="6"/>
  <c r="G12" i="6"/>
  <c r="G44" i="6" s="1"/>
  <c r="G14" i="4"/>
  <c r="G11" i="6" s="1"/>
  <c r="G43" i="6" s="1"/>
  <c r="G35" i="4"/>
  <c r="G2" i="6" s="1"/>
  <c r="G45" i="4"/>
  <c r="G10" i="6"/>
  <c r="G42" i="6" s="1"/>
  <c r="G6" i="6"/>
  <c r="G5" i="6"/>
  <c r="G7" i="6"/>
  <c r="E13" i="4"/>
  <c r="E44" i="4"/>
  <c r="E34" i="4"/>
  <c r="F35" i="4"/>
  <c r="F2" i="6" s="1"/>
  <c r="F14" i="4"/>
  <c r="F45" i="4"/>
  <c r="E18" i="3"/>
  <c r="I41" i="6"/>
  <c r="W19" i="5"/>
  <c r="G18" i="9"/>
  <c r="S18" i="9" s="1"/>
  <c r="G18" i="7"/>
  <c r="G50" i="3"/>
  <c r="G18" i="5"/>
  <c r="B13" i="4" l="1"/>
  <c r="B34" i="4"/>
  <c r="B44" i="4"/>
  <c r="S18" i="5"/>
  <c r="F35" i="6"/>
  <c r="C13" i="4"/>
  <c r="C44" i="4"/>
  <c r="C34" i="4"/>
  <c r="F4" i="6"/>
  <c r="F13" i="6"/>
  <c r="F45" i="6" s="1"/>
  <c r="F46" i="4"/>
  <c r="F36" i="4"/>
  <c r="F7" i="6"/>
  <c r="F9" i="6"/>
  <c r="F10" i="6"/>
  <c r="F42" i="6" s="1"/>
  <c r="F6" i="6"/>
  <c r="H41" i="6"/>
  <c r="I17" i="3"/>
  <c r="C18" i="3"/>
  <c r="G50" i="9"/>
  <c r="G50" i="7"/>
  <c r="G50" i="5"/>
  <c r="D34" i="6"/>
  <c r="H35" i="6"/>
  <c r="K18" i="3"/>
  <c r="H34" i="6"/>
  <c r="F12" i="6"/>
  <c r="F44" i="6" s="1"/>
  <c r="B18" i="3"/>
  <c r="G4" i="6"/>
  <c r="G46" i="4"/>
  <c r="G36" i="4"/>
  <c r="G13" i="6"/>
  <c r="G45" i="6" s="1"/>
  <c r="G8" i="6"/>
  <c r="G9" i="6"/>
  <c r="H37" i="6"/>
  <c r="H32" i="6"/>
  <c r="D50" i="7"/>
  <c r="D50" i="9"/>
  <c r="D50" i="5"/>
  <c r="F50" i="9"/>
  <c r="F50" i="7"/>
  <c r="F50" i="5"/>
  <c r="H17" i="3"/>
  <c r="E18" i="7"/>
  <c r="E18" i="9"/>
  <c r="Q18" i="9" s="1"/>
  <c r="E18" i="5"/>
  <c r="E50" i="3"/>
  <c r="I36" i="6"/>
  <c r="I40" i="6"/>
  <c r="F5" i="6"/>
  <c r="H38" i="6"/>
  <c r="R18" i="7"/>
  <c r="P18" i="7"/>
  <c r="F33" i="6"/>
  <c r="I11" i="10"/>
  <c r="I3" i="6"/>
  <c r="I32" i="6"/>
  <c r="D13" i="6"/>
  <c r="D45" i="6" s="1"/>
  <c r="D46" i="4"/>
  <c r="D36" i="6" s="1"/>
  <c r="D4" i="6"/>
  <c r="D36" i="4"/>
  <c r="D3" i="6" s="1"/>
  <c r="I39" i="6"/>
  <c r="S18" i="7"/>
  <c r="R18" i="5"/>
  <c r="F8" i="6"/>
  <c r="E35" i="4"/>
  <c r="E14" i="4"/>
  <c r="E45" i="4"/>
  <c r="E8" i="6"/>
  <c r="F11" i="6"/>
  <c r="F43" i="6" s="1"/>
  <c r="J16" i="3"/>
  <c r="D35" i="6"/>
  <c r="D40" i="6"/>
  <c r="D39" i="6"/>
  <c r="D38" i="6"/>
  <c r="D33" i="6"/>
  <c r="D11" i="10"/>
  <c r="D2" i="6"/>
  <c r="K44" i="4"/>
  <c r="K34" i="4"/>
  <c r="K13" i="4"/>
  <c r="P18" i="5"/>
  <c r="D12" i="6"/>
  <c r="D44" i="6" s="1"/>
  <c r="K14" i="4" l="1"/>
  <c r="K45" i="4"/>
  <c r="K35" i="4"/>
  <c r="K2" i="6" s="1"/>
  <c r="K6" i="6"/>
  <c r="G3" i="6"/>
  <c r="G32" i="6"/>
  <c r="H17" i="7"/>
  <c r="H17" i="9"/>
  <c r="T17" i="9" s="1"/>
  <c r="H17" i="5"/>
  <c r="H49" i="3"/>
  <c r="F17" i="3"/>
  <c r="C18" i="9"/>
  <c r="O18" i="9" s="1"/>
  <c r="C18" i="7"/>
  <c r="C18" i="5"/>
  <c r="C50" i="3"/>
  <c r="B18" i="9"/>
  <c r="N18" i="9" s="1"/>
  <c r="B18" i="7"/>
  <c r="B18" i="5"/>
  <c r="B50" i="3"/>
  <c r="E2" i="6"/>
  <c r="E33" i="6"/>
  <c r="G11" i="10"/>
  <c r="Q18" i="7"/>
  <c r="G33" i="6"/>
  <c r="D17" i="3"/>
  <c r="J16" i="7"/>
  <c r="J16" i="9"/>
  <c r="V16" i="9" s="1"/>
  <c r="J16" i="5"/>
  <c r="J48" i="3"/>
  <c r="E4" i="6"/>
  <c r="E46" i="4"/>
  <c r="E36" i="4"/>
  <c r="E13" i="6"/>
  <c r="E45" i="6" s="1"/>
  <c r="E11" i="6"/>
  <c r="E43" i="6" s="1"/>
  <c r="E6" i="6"/>
  <c r="E9" i="6"/>
  <c r="E5" i="6"/>
  <c r="E7" i="6"/>
  <c r="I17" i="7"/>
  <c r="I17" i="9"/>
  <c r="U17" i="9" s="1"/>
  <c r="I17" i="5"/>
  <c r="I49" i="3"/>
  <c r="D32" i="6"/>
  <c r="F34" i="6"/>
  <c r="F3" i="6"/>
  <c r="F11" i="10"/>
  <c r="F36" i="6"/>
  <c r="F40" i="6"/>
  <c r="F41" i="6"/>
  <c r="C35" i="4"/>
  <c r="C45" i="4"/>
  <c r="C14" i="4"/>
  <c r="K7" i="6"/>
  <c r="C11" i="6"/>
  <c r="C43" i="6" s="1"/>
  <c r="G36" i="6"/>
  <c r="G39" i="6"/>
  <c r="G38" i="6"/>
  <c r="G41" i="6"/>
  <c r="G37" i="6"/>
  <c r="G40" i="6"/>
  <c r="G17" i="3"/>
  <c r="F32" i="6"/>
  <c r="G34" i="6"/>
  <c r="B45" i="4"/>
  <c r="B35" i="4"/>
  <c r="B2" i="6" s="1"/>
  <c r="B14" i="4"/>
  <c r="B11" i="6" s="1"/>
  <c r="B43" i="6" s="1"/>
  <c r="E12" i="6"/>
  <c r="E44" i="6" s="1"/>
  <c r="G35" i="6"/>
  <c r="K10" i="6"/>
  <c r="K42" i="6" s="1"/>
  <c r="F37" i="6"/>
  <c r="E10" i="6"/>
  <c r="E42" i="6" s="1"/>
  <c r="E35" i="6"/>
  <c r="E39" i="6"/>
  <c r="K18" i="9"/>
  <c r="W18" i="9" s="1"/>
  <c r="K18" i="7"/>
  <c r="K50" i="3"/>
  <c r="K18" i="5"/>
  <c r="F38" i="6"/>
  <c r="D41" i="6"/>
  <c r="E40" i="6"/>
  <c r="E50" i="9"/>
  <c r="E50" i="7"/>
  <c r="E50" i="5"/>
  <c r="D37" i="6"/>
  <c r="E38" i="6"/>
  <c r="Q18" i="5"/>
  <c r="C9" i="6"/>
  <c r="F39" i="6"/>
  <c r="H49" i="9" l="1"/>
  <c r="H49" i="7"/>
  <c r="H49" i="5"/>
  <c r="U17" i="5"/>
  <c r="B41" i="6"/>
  <c r="C13" i="6"/>
  <c r="C45" i="6" s="1"/>
  <c r="C46" i="4"/>
  <c r="C4" i="6"/>
  <c r="C36" i="4"/>
  <c r="C8" i="6"/>
  <c r="C6" i="6"/>
  <c r="C5" i="6"/>
  <c r="T17" i="5"/>
  <c r="V16" i="5"/>
  <c r="C2" i="6"/>
  <c r="B39" i="6"/>
  <c r="B50" i="7"/>
  <c r="B50" i="9"/>
  <c r="B50" i="5"/>
  <c r="E17" i="3"/>
  <c r="C12" i="6"/>
  <c r="C44" i="6" s="1"/>
  <c r="B34" i="6"/>
  <c r="K35" i="6"/>
  <c r="K39" i="6"/>
  <c r="J48" i="9"/>
  <c r="J48" i="7"/>
  <c r="J48" i="5"/>
  <c r="O18" i="7"/>
  <c r="K4" i="6"/>
  <c r="K13" i="6"/>
  <c r="K45" i="6" s="1"/>
  <c r="K36" i="4"/>
  <c r="K46" i="4"/>
  <c r="K5" i="6"/>
  <c r="K9" i="6"/>
  <c r="K8" i="6"/>
  <c r="B35" i="6"/>
  <c r="I18" i="12"/>
  <c r="I18" i="13" s="1"/>
  <c r="U17" i="7"/>
  <c r="J17" i="12"/>
  <c r="J17" i="13" s="1"/>
  <c r="V16" i="7"/>
  <c r="K12" i="6"/>
  <c r="K44" i="6" s="1"/>
  <c r="I49" i="9"/>
  <c r="I49" i="7"/>
  <c r="I49" i="5"/>
  <c r="B38" i="6"/>
  <c r="N18" i="7"/>
  <c r="C50" i="9"/>
  <c r="C50" i="7"/>
  <c r="C50" i="5"/>
  <c r="E36" i="6"/>
  <c r="E37" i="6"/>
  <c r="B13" i="6"/>
  <c r="B45" i="6" s="1"/>
  <c r="B46" i="4"/>
  <c r="B36" i="6" s="1"/>
  <c r="B4" i="6"/>
  <c r="B36" i="4"/>
  <c r="B33" i="6" s="1"/>
  <c r="B10" i="6"/>
  <c r="B42" i="6" s="1"/>
  <c r="B9" i="6"/>
  <c r="B8" i="6"/>
  <c r="B6" i="6"/>
  <c r="H18" i="12"/>
  <c r="H18" i="13" s="1"/>
  <c r="T17" i="7"/>
  <c r="N18" i="5"/>
  <c r="D17" i="9"/>
  <c r="P17" i="9" s="1"/>
  <c r="D17" i="7"/>
  <c r="D17" i="5"/>
  <c r="D49" i="3"/>
  <c r="O18" i="5"/>
  <c r="B7" i="6"/>
  <c r="E3" i="6"/>
  <c r="E11" i="10"/>
  <c r="E32" i="6"/>
  <c r="E34" i="6"/>
  <c r="C7" i="6"/>
  <c r="F17" i="7"/>
  <c r="F17" i="9"/>
  <c r="R17" i="9" s="1"/>
  <c r="F17" i="5"/>
  <c r="F49" i="3"/>
  <c r="E41" i="6"/>
  <c r="C10" i="6"/>
  <c r="C42" i="6" s="1"/>
  <c r="B12" i="6"/>
  <c r="B44" i="6" s="1"/>
  <c r="B37" i="6"/>
  <c r="G17" i="7"/>
  <c r="G17" i="9"/>
  <c r="S17" i="9" s="1"/>
  <c r="G17" i="5"/>
  <c r="G49" i="3"/>
  <c r="K32" i="6"/>
  <c r="K11" i="10"/>
  <c r="W18" i="5"/>
  <c r="K50" i="9"/>
  <c r="K50" i="7"/>
  <c r="K50" i="5"/>
  <c r="W18" i="7"/>
  <c r="B5" i="6"/>
  <c r="K11" i="6"/>
  <c r="K43" i="6" s="1"/>
  <c r="B11" i="10"/>
  <c r="D18" i="12" l="1"/>
  <c r="D18" i="13" s="1"/>
  <c r="P17" i="7"/>
  <c r="C11" i="10"/>
  <c r="C3" i="6"/>
  <c r="C34" i="6"/>
  <c r="B17" i="3"/>
  <c r="G18" i="12"/>
  <c r="G18" i="13" s="1"/>
  <c r="S17" i="7"/>
  <c r="G49" i="9"/>
  <c r="G49" i="7"/>
  <c r="G49" i="5"/>
  <c r="C36" i="6"/>
  <c r="C41" i="6"/>
  <c r="F49" i="9"/>
  <c r="F49" i="7"/>
  <c r="F49" i="5"/>
  <c r="R17" i="5"/>
  <c r="K36" i="6"/>
  <c r="K37" i="6"/>
  <c r="K38" i="6"/>
  <c r="K40" i="6"/>
  <c r="K41" i="6"/>
  <c r="K3" i="6"/>
  <c r="K33" i="6"/>
  <c r="K34" i="6"/>
  <c r="C40" i="6"/>
  <c r="C32" i="6"/>
  <c r="H16" i="3"/>
  <c r="I16" i="3"/>
  <c r="C37" i="6"/>
  <c r="P17" i="5"/>
  <c r="C17" i="3"/>
  <c r="F18" i="12"/>
  <c r="F18" i="13" s="1"/>
  <c r="R17" i="7"/>
  <c r="S17" i="5"/>
  <c r="J15" i="3"/>
  <c r="E17" i="9"/>
  <c r="Q17" i="9" s="1"/>
  <c r="E17" i="7"/>
  <c r="E17" i="5"/>
  <c r="E49" i="3"/>
  <c r="C39" i="6"/>
  <c r="C38" i="6"/>
  <c r="C33" i="6"/>
  <c r="B3" i="6"/>
  <c r="B32" i="6"/>
  <c r="C35" i="6"/>
  <c r="K17" i="3"/>
  <c r="D49" i="9"/>
  <c r="D49" i="7"/>
  <c r="D49" i="5"/>
  <c r="B40" i="6"/>
  <c r="G16" i="3" l="1"/>
  <c r="B17" i="9"/>
  <c r="N17" i="9" s="1"/>
  <c r="B17" i="7"/>
  <c r="B49" i="3"/>
  <c r="B17" i="5"/>
  <c r="J15" i="9"/>
  <c r="V15" i="9" s="1"/>
  <c r="J15" i="7"/>
  <c r="J47" i="3"/>
  <c r="J15" i="5"/>
  <c r="C17" i="9"/>
  <c r="O17" i="9" s="1"/>
  <c r="C17" i="7"/>
  <c r="C17" i="5"/>
  <c r="C49" i="3"/>
  <c r="K17" i="9"/>
  <c r="W17" i="9" s="1"/>
  <c r="K17" i="7"/>
  <c r="K17" i="5"/>
  <c r="K49" i="3"/>
  <c r="Q17" i="5"/>
  <c r="E18" i="12"/>
  <c r="E18" i="13" s="1"/>
  <c r="Q17" i="7"/>
  <c r="E49" i="9"/>
  <c r="E49" i="7"/>
  <c r="E49" i="5"/>
  <c r="I16" i="9"/>
  <c r="U16" i="9" s="1"/>
  <c r="I16" i="7"/>
  <c r="I16" i="5"/>
  <c r="I48" i="3"/>
  <c r="F16" i="3"/>
  <c r="H16" i="9"/>
  <c r="T16" i="9" s="1"/>
  <c r="H16" i="7"/>
  <c r="H16" i="5"/>
  <c r="H48" i="3"/>
  <c r="D16" i="3"/>
  <c r="I48" i="9" l="1"/>
  <c r="I48" i="7"/>
  <c r="I48" i="5"/>
  <c r="E16" i="3"/>
  <c r="U16" i="5"/>
  <c r="C18" i="12"/>
  <c r="C18" i="13" s="1"/>
  <c r="O17" i="7"/>
  <c r="J16" i="12"/>
  <c r="J16" i="13" s="1"/>
  <c r="V15" i="7"/>
  <c r="O17" i="5"/>
  <c r="V15" i="5"/>
  <c r="J47" i="7"/>
  <c r="J47" i="9"/>
  <c r="J47" i="5"/>
  <c r="D16" i="7"/>
  <c r="D16" i="9"/>
  <c r="P16" i="9" s="1"/>
  <c r="D16" i="5"/>
  <c r="D48" i="3"/>
  <c r="H17" i="12"/>
  <c r="H17" i="13" s="1"/>
  <c r="T16" i="7"/>
  <c r="K49" i="9"/>
  <c r="K49" i="7"/>
  <c r="K49" i="5"/>
  <c r="G16" i="9"/>
  <c r="S16" i="9" s="1"/>
  <c r="G16" i="7"/>
  <c r="G16" i="5"/>
  <c r="G48" i="3"/>
  <c r="C49" i="9"/>
  <c r="C49" i="7"/>
  <c r="C49" i="5"/>
  <c r="I17" i="12"/>
  <c r="I17" i="13" s="1"/>
  <c r="U16" i="7"/>
  <c r="N17" i="5"/>
  <c r="H48" i="9"/>
  <c r="H48" i="7"/>
  <c r="H48" i="5"/>
  <c r="B49" i="9"/>
  <c r="B49" i="7"/>
  <c r="B49" i="5"/>
  <c r="T16" i="5"/>
  <c r="B18" i="12"/>
  <c r="B18" i="13" s="1"/>
  <c r="N17" i="7"/>
  <c r="W17" i="5"/>
  <c r="F16" i="9"/>
  <c r="R16" i="9" s="1"/>
  <c r="F16" i="7"/>
  <c r="F48" i="3"/>
  <c r="F16" i="5"/>
  <c r="K18" i="12"/>
  <c r="K18" i="13" s="1"/>
  <c r="W17" i="7"/>
  <c r="G17" i="12" l="1"/>
  <c r="G17" i="13" s="1"/>
  <c r="S16" i="7"/>
  <c r="B16" i="3"/>
  <c r="K16" i="3"/>
  <c r="R16" i="5"/>
  <c r="F17" i="12"/>
  <c r="F17" i="13" s="1"/>
  <c r="R16" i="7"/>
  <c r="I15" i="3"/>
  <c r="H15" i="3"/>
  <c r="D48" i="9"/>
  <c r="D48" i="7"/>
  <c r="D48" i="5"/>
  <c r="P16" i="5"/>
  <c r="C16" i="3"/>
  <c r="E16" i="9"/>
  <c r="Q16" i="9" s="1"/>
  <c r="E16" i="7"/>
  <c r="E16" i="5"/>
  <c r="E48" i="3"/>
  <c r="J14" i="3"/>
  <c r="G48" i="9"/>
  <c r="G48" i="7"/>
  <c r="G48" i="5"/>
  <c r="F48" i="7"/>
  <c r="F48" i="9"/>
  <c r="F48" i="5"/>
  <c r="D17" i="12"/>
  <c r="D17" i="13" s="1"/>
  <c r="P16" i="7"/>
  <c r="S16" i="5"/>
  <c r="J14" i="7" l="1"/>
  <c r="J14" i="9"/>
  <c r="V14" i="9" s="1"/>
  <c r="J14" i="5"/>
  <c r="J46" i="3"/>
  <c r="E48" i="9"/>
  <c r="E48" i="7"/>
  <c r="E48" i="5"/>
  <c r="F15" i="3"/>
  <c r="Q16" i="5"/>
  <c r="C16" i="7"/>
  <c r="C16" i="9"/>
  <c r="O16" i="9" s="1"/>
  <c r="C16" i="5"/>
  <c r="C48" i="3"/>
  <c r="B16" i="9"/>
  <c r="N16" i="9" s="1"/>
  <c r="B16" i="7"/>
  <c r="B16" i="5"/>
  <c r="B48" i="3"/>
  <c r="G15" i="3"/>
  <c r="H15" i="9"/>
  <c r="T15" i="9" s="1"/>
  <c r="H15" i="7"/>
  <c r="H47" i="3"/>
  <c r="H15" i="5"/>
  <c r="I15" i="9"/>
  <c r="U15" i="9" s="1"/>
  <c r="I47" i="3"/>
  <c r="I15" i="5"/>
  <c r="I15" i="7"/>
  <c r="E17" i="12"/>
  <c r="E17" i="13" s="1"/>
  <c r="Q16" i="7"/>
  <c r="K16" i="9"/>
  <c r="W16" i="9" s="1"/>
  <c r="K16" i="7"/>
  <c r="K16" i="5"/>
  <c r="K48" i="3"/>
  <c r="D15" i="3"/>
  <c r="U15" i="5" l="1"/>
  <c r="F15" i="9"/>
  <c r="R15" i="9" s="1"/>
  <c r="F15" i="7"/>
  <c r="F47" i="3"/>
  <c r="F15" i="5"/>
  <c r="I16" i="12"/>
  <c r="I16" i="13" s="1"/>
  <c r="U15" i="7"/>
  <c r="H16" i="12"/>
  <c r="H16" i="13" s="1"/>
  <c r="T15" i="7"/>
  <c r="E15" i="3"/>
  <c r="B48" i="7"/>
  <c r="B48" i="9"/>
  <c r="B48" i="5"/>
  <c r="H47" i="9"/>
  <c r="H47" i="7"/>
  <c r="H47" i="5"/>
  <c r="D15" i="9"/>
  <c r="P15" i="9" s="1"/>
  <c r="D15" i="7"/>
  <c r="D47" i="3"/>
  <c r="D15" i="5"/>
  <c r="K48" i="9"/>
  <c r="K48" i="7"/>
  <c r="K48" i="5"/>
  <c r="J46" i="9"/>
  <c r="J46" i="7"/>
  <c r="J46" i="5"/>
  <c r="C48" i="9"/>
  <c r="C48" i="7"/>
  <c r="C48" i="5"/>
  <c r="O16" i="5"/>
  <c r="C17" i="12"/>
  <c r="C17" i="13" s="1"/>
  <c r="O16" i="7"/>
  <c r="I47" i="9"/>
  <c r="I47" i="5"/>
  <c r="I47" i="7"/>
  <c r="T15" i="5"/>
  <c r="G15" i="9"/>
  <c r="S15" i="9" s="1"/>
  <c r="G15" i="7"/>
  <c r="G47" i="3"/>
  <c r="G15" i="5"/>
  <c r="W16" i="5"/>
  <c r="V14" i="5"/>
  <c r="K17" i="12"/>
  <c r="K17" i="13" s="1"/>
  <c r="W16" i="7"/>
  <c r="N16" i="5"/>
  <c r="B17" i="12"/>
  <c r="B17" i="13" s="1"/>
  <c r="N16" i="7"/>
  <c r="J15" i="12"/>
  <c r="J15" i="13" s="1"/>
  <c r="V14" i="7"/>
  <c r="E15" i="9" l="1"/>
  <c r="Q15" i="9" s="1"/>
  <c r="E15" i="7"/>
  <c r="E47" i="3"/>
  <c r="E15" i="5"/>
  <c r="G47" i="9"/>
  <c r="G47" i="7"/>
  <c r="G47" i="5"/>
  <c r="S15" i="5"/>
  <c r="J13" i="3"/>
  <c r="K15" i="3"/>
  <c r="P15" i="5"/>
  <c r="F16" i="12"/>
  <c r="F16" i="13" s="1"/>
  <c r="R15" i="7"/>
  <c r="R15" i="5"/>
  <c r="G16" i="12"/>
  <c r="G16" i="13" s="1"/>
  <c r="S15" i="7"/>
  <c r="I14" i="3"/>
  <c r="D47" i="9"/>
  <c r="D47" i="7"/>
  <c r="D47" i="5"/>
  <c r="D16" i="12"/>
  <c r="D16" i="13" s="1"/>
  <c r="P15" i="7"/>
  <c r="F47" i="9"/>
  <c r="F47" i="5"/>
  <c r="F47" i="7"/>
  <c r="H14" i="3"/>
  <c r="C15" i="3"/>
  <c r="B15" i="3"/>
  <c r="I14" i="9" l="1"/>
  <c r="U14" i="9" s="1"/>
  <c r="I14" i="7"/>
  <c r="I14" i="5"/>
  <c r="I46" i="3"/>
  <c r="K15" i="9"/>
  <c r="W15" i="9" s="1"/>
  <c r="K15" i="7"/>
  <c r="K15" i="5"/>
  <c r="K47" i="3"/>
  <c r="G14" i="3"/>
  <c r="D14" i="3"/>
  <c r="C15" i="9"/>
  <c r="O15" i="9" s="1"/>
  <c r="C15" i="7"/>
  <c r="C47" i="3"/>
  <c r="C15" i="5"/>
  <c r="H14" i="9"/>
  <c r="T14" i="9" s="1"/>
  <c r="H14" i="7"/>
  <c r="H14" i="5"/>
  <c r="H46" i="3"/>
  <c r="E16" i="12"/>
  <c r="E16" i="13" s="1"/>
  <c r="Q15" i="7"/>
  <c r="J13" i="9"/>
  <c r="V13" i="9" s="1"/>
  <c r="J13" i="5"/>
  <c r="J45" i="3"/>
  <c r="J13" i="7"/>
  <c r="B15" i="5"/>
  <c r="B15" i="7"/>
  <c r="B47" i="3"/>
  <c r="B15" i="9"/>
  <c r="N15" i="9" s="1"/>
  <c r="Q15" i="5"/>
  <c r="E47" i="7"/>
  <c r="E47" i="9"/>
  <c r="E47" i="5"/>
  <c r="F14" i="3"/>
  <c r="C47" i="9" l="1"/>
  <c r="C47" i="5"/>
  <c r="C47" i="7"/>
  <c r="V13" i="5"/>
  <c r="B16" i="12"/>
  <c r="B16" i="13" s="1"/>
  <c r="N15" i="7"/>
  <c r="N15" i="5"/>
  <c r="G14" i="9"/>
  <c r="S14" i="9" s="1"/>
  <c r="G14" i="7"/>
  <c r="G14" i="5"/>
  <c r="G46" i="3"/>
  <c r="K47" i="7"/>
  <c r="K47" i="9"/>
  <c r="K47" i="5"/>
  <c r="K16" i="12"/>
  <c r="K16" i="13" s="1"/>
  <c r="W15" i="7"/>
  <c r="J14" i="12"/>
  <c r="J14" i="13" s="1"/>
  <c r="V13" i="7"/>
  <c r="W15" i="5"/>
  <c r="U14" i="5"/>
  <c r="O15" i="5"/>
  <c r="B47" i="9"/>
  <c r="B47" i="5"/>
  <c r="B47" i="7"/>
  <c r="J45" i="9"/>
  <c r="J45" i="7"/>
  <c r="J45" i="5"/>
  <c r="E14" i="3"/>
  <c r="I46" i="7"/>
  <c r="I46" i="9"/>
  <c r="I46" i="5"/>
  <c r="T14" i="5"/>
  <c r="H15" i="12"/>
  <c r="H15" i="13" s="1"/>
  <c r="T14" i="7"/>
  <c r="I15" i="12"/>
  <c r="I15" i="13" s="1"/>
  <c r="U14" i="7"/>
  <c r="C16" i="12"/>
  <c r="C16" i="13" s="1"/>
  <c r="O15" i="7"/>
  <c r="D14" i="7"/>
  <c r="D14" i="5"/>
  <c r="D46" i="3"/>
  <c r="D14" i="9"/>
  <c r="P14" i="9" s="1"/>
  <c r="F14" i="9"/>
  <c r="R14" i="9" s="1"/>
  <c r="F14" i="5"/>
  <c r="F14" i="7"/>
  <c r="F46" i="3"/>
  <c r="H46" i="7"/>
  <c r="H46" i="9"/>
  <c r="H46" i="5"/>
  <c r="H13" i="3" l="1"/>
  <c r="F46" i="7"/>
  <c r="F46" i="9"/>
  <c r="F46" i="5"/>
  <c r="G46" i="9"/>
  <c r="G46" i="7"/>
  <c r="G46" i="5"/>
  <c r="S14" i="5"/>
  <c r="P14" i="5"/>
  <c r="G15" i="12"/>
  <c r="G15" i="13" s="1"/>
  <c r="S14" i="7"/>
  <c r="C14" i="3"/>
  <c r="B14" i="3"/>
  <c r="F15" i="12"/>
  <c r="F15" i="13" s="1"/>
  <c r="R14" i="7"/>
  <c r="R14" i="5"/>
  <c r="I13" i="3"/>
  <c r="D46" i="9"/>
  <c r="D46" i="7"/>
  <c r="D46" i="5"/>
  <c r="E14" i="7"/>
  <c r="E14" i="5"/>
  <c r="E14" i="9"/>
  <c r="Q14" i="9" s="1"/>
  <c r="E46" i="3"/>
  <c r="D15" i="12"/>
  <c r="D15" i="13" s="1"/>
  <c r="P14" i="7"/>
  <c r="J12" i="3"/>
  <c r="K14" i="3"/>
  <c r="Q14" i="5" l="1"/>
  <c r="I13" i="9"/>
  <c r="U13" i="9" s="1"/>
  <c r="I13" i="7"/>
  <c r="I13" i="5"/>
  <c r="I45" i="3"/>
  <c r="E15" i="12"/>
  <c r="E15" i="13" s="1"/>
  <c r="Q14" i="7"/>
  <c r="D13" i="3"/>
  <c r="G13" i="3"/>
  <c r="F13" i="3"/>
  <c r="J12" i="7"/>
  <c r="J12" i="9"/>
  <c r="V12" i="9" s="1"/>
  <c r="J12" i="5"/>
  <c r="J44" i="3"/>
  <c r="H13" i="7"/>
  <c r="H13" i="9"/>
  <c r="T13" i="9" s="1"/>
  <c r="H13" i="5"/>
  <c r="H45" i="3"/>
  <c r="K14" i="9"/>
  <c r="W14" i="9" s="1"/>
  <c r="K14" i="7"/>
  <c r="K14" i="5"/>
  <c r="K46" i="3"/>
  <c r="B14" i="9"/>
  <c r="N14" i="9" s="1"/>
  <c r="B14" i="7"/>
  <c r="B14" i="5"/>
  <c r="B46" i="3"/>
  <c r="E46" i="9"/>
  <c r="E46" i="7"/>
  <c r="E46" i="5"/>
  <c r="C14" i="9"/>
  <c r="O14" i="9" s="1"/>
  <c r="C14" i="7"/>
  <c r="C14" i="5"/>
  <c r="C46" i="3"/>
  <c r="B15" i="12" l="1"/>
  <c r="B15" i="13" s="1"/>
  <c r="N14" i="7"/>
  <c r="K46" i="9"/>
  <c r="K46" i="7"/>
  <c r="K46" i="5"/>
  <c r="J13" i="12"/>
  <c r="J13" i="13" s="1"/>
  <c r="V12" i="7"/>
  <c r="B46" i="9"/>
  <c r="B46" i="7"/>
  <c r="B46" i="5"/>
  <c r="H45" i="9"/>
  <c r="H45" i="5"/>
  <c r="H45" i="7"/>
  <c r="C46" i="9"/>
  <c r="C46" i="7"/>
  <c r="C46" i="5"/>
  <c r="I45" i="9"/>
  <c r="I45" i="7"/>
  <c r="I45" i="5"/>
  <c r="C15" i="12"/>
  <c r="C15" i="13" s="1"/>
  <c r="O14" i="7"/>
  <c r="J44" i="7"/>
  <c r="J44" i="9"/>
  <c r="J44" i="5"/>
  <c r="F13" i="7"/>
  <c r="F13" i="9"/>
  <c r="R13" i="9" s="1"/>
  <c r="F13" i="5"/>
  <c r="F45" i="3"/>
  <c r="W14" i="5"/>
  <c r="K15" i="12"/>
  <c r="K15" i="13" s="1"/>
  <c r="W14" i="7"/>
  <c r="H14" i="12"/>
  <c r="H14" i="13" s="1"/>
  <c r="T13" i="7"/>
  <c r="V12" i="5"/>
  <c r="N14" i="5"/>
  <c r="G13" i="9"/>
  <c r="S13" i="9" s="1"/>
  <c r="G13" i="7"/>
  <c r="G13" i="5"/>
  <c r="G45" i="3"/>
  <c r="D13" i="9"/>
  <c r="P13" i="9" s="1"/>
  <c r="D13" i="7"/>
  <c r="D13" i="5"/>
  <c r="D45" i="3"/>
  <c r="T13" i="5"/>
  <c r="O14" i="5"/>
  <c r="U13" i="5"/>
  <c r="I14" i="12"/>
  <c r="I14" i="13" s="1"/>
  <c r="U13" i="7"/>
  <c r="E13" i="3"/>
  <c r="R13" i="5" l="1"/>
  <c r="G45" i="9"/>
  <c r="G45" i="5"/>
  <c r="G45" i="7"/>
  <c r="F45" i="9"/>
  <c r="F45" i="5"/>
  <c r="F45" i="7"/>
  <c r="G14" i="12"/>
  <c r="G14" i="13" s="1"/>
  <c r="S13" i="7"/>
  <c r="E13" i="9"/>
  <c r="Q13" i="9" s="1"/>
  <c r="E13" i="7"/>
  <c r="E13" i="5"/>
  <c r="E45" i="3"/>
  <c r="S13" i="5"/>
  <c r="H12" i="3"/>
  <c r="F14" i="12"/>
  <c r="F14" i="13" s="1"/>
  <c r="R13" i="7"/>
  <c r="J11" i="3"/>
  <c r="K13" i="3"/>
  <c r="I12" i="3"/>
  <c r="C13" i="3"/>
  <c r="B13" i="3"/>
  <c r="D45" i="9"/>
  <c r="D45" i="7"/>
  <c r="D45" i="5"/>
  <c r="P13" i="5"/>
  <c r="D14" i="12"/>
  <c r="D14" i="13" s="1"/>
  <c r="P13" i="7"/>
  <c r="F12" i="3" l="1"/>
  <c r="B13" i="9"/>
  <c r="N13" i="9" s="1"/>
  <c r="B13" i="7"/>
  <c r="B13" i="5"/>
  <c r="B45" i="3"/>
  <c r="C13" i="9"/>
  <c r="O13" i="9" s="1"/>
  <c r="C13" i="7"/>
  <c r="C13" i="5"/>
  <c r="C45" i="3"/>
  <c r="Q13" i="5"/>
  <c r="I12" i="9"/>
  <c r="U12" i="9" s="1"/>
  <c r="I12" i="7"/>
  <c r="I12" i="5"/>
  <c r="I44" i="3"/>
  <c r="K13" i="9"/>
  <c r="W13" i="9" s="1"/>
  <c r="K45" i="3"/>
  <c r="K13" i="7"/>
  <c r="K13" i="5"/>
  <c r="J11" i="9"/>
  <c r="V11" i="9" s="1"/>
  <c r="J11" i="7"/>
  <c r="J11" i="5"/>
  <c r="V11" i="5" s="1"/>
  <c r="J43" i="3"/>
  <c r="E45" i="9"/>
  <c r="E45" i="7"/>
  <c r="E45" i="5"/>
  <c r="E14" i="12"/>
  <c r="E14" i="13" s="1"/>
  <c r="Q13" i="7"/>
  <c r="G12" i="3"/>
  <c r="D12" i="3"/>
  <c r="H12" i="9"/>
  <c r="T12" i="9" s="1"/>
  <c r="H12" i="7"/>
  <c r="H12" i="5"/>
  <c r="H44" i="3"/>
  <c r="G12" i="9" l="1"/>
  <c r="S12" i="9" s="1"/>
  <c r="G12" i="7"/>
  <c r="G44" i="3"/>
  <c r="G12" i="5"/>
  <c r="I44" i="9"/>
  <c r="I44" i="7"/>
  <c r="I44" i="5"/>
  <c r="C45" i="9"/>
  <c r="C45" i="7"/>
  <c r="C45" i="5"/>
  <c r="J43" i="9"/>
  <c r="J43" i="7"/>
  <c r="J43" i="5"/>
  <c r="J12" i="12"/>
  <c r="J12" i="13" s="1"/>
  <c r="V11" i="7"/>
  <c r="N13" i="5"/>
  <c r="K14" i="12"/>
  <c r="K14" i="13" s="1"/>
  <c r="W13" i="7"/>
  <c r="U12" i="5"/>
  <c r="O13" i="5"/>
  <c r="K45" i="9"/>
  <c r="K45" i="7"/>
  <c r="K45" i="5"/>
  <c r="I13" i="12"/>
  <c r="I13" i="13" s="1"/>
  <c r="U12" i="7"/>
  <c r="E12" i="3"/>
  <c r="C14" i="12"/>
  <c r="C14" i="13" s="1"/>
  <c r="O13" i="7"/>
  <c r="H44" i="7"/>
  <c r="H44" i="9"/>
  <c r="H44" i="5"/>
  <c r="B45" i="9"/>
  <c r="B45" i="7"/>
  <c r="B45" i="5"/>
  <c r="T12" i="5"/>
  <c r="H13" i="12"/>
  <c r="H13" i="13" s="1"/>
  <c r="T12" i="7"/>
  <c r="W13" i="5"/>
  <c r="B14" i="12"/>
  <c r="B14" i="13" s="1"/>
  <c r="N13" i="7"/>
  <c r="D12" i="9"/>
  <c r="P12" i="9" s="1"/>
  <c r="D12" i="7"/>
  <c r="D44" i="3"/>
  <c r="D12" i="5"/>
  <c r="F12" i="9"/>
  <c r="R12" i="9" s="1"/>
  <c r="F12" i="7"/>
  <c r="F44" i="3"/>
  <c r="F12" i="5"/>
  <c r="E12" i="9" l="1"/>
  <c r="Q12" i="9" s="1"/>
  <c r="E12" i="7"/>
  <c r="E44" i="3"/>
  <c r="E12" i="5"/>
  <c r="J10" i="3"/>
  <c r="P12" i="5"/>
  <c r="R12" i="5"/>
  <c r="F44" i="7"/>
  <c r="F44" i="9"/>
  <c r="F44" i="5"/>
  <c r="C12" i="3"/>
  <c r="D44" i="9"/>
  <c r="D44" i="7"/>
  <c r="D44" i="5"/>
  <c r="H11" i="3"/>
  <c r="G44" i="7"/>
  <c r="G44" i="9"/>
  <c r="G44" i="5"/>
  <c r="K12" i="3"/>
  <c r="F13" i="12"/>
  <c r="F13" i="13" s="1"/>
  <c r="R12" i="7"/>
  <c r="B12" i="3"/>
  <c r="D13" i="12"/>
  <c r="D13" i="13" s="1"/>
  <c r="P12" i="7"/>
  <c r="S12" i="5"/>
  <c r="G13" i="12"/>
  <c r="G13" i="13" s="1"/>
  <c r="S12" i="7"/>
  <c r="I11" i="3"/>
  <c r="F11" i="3" l="1"/>
  <c r="K12" i="9"/>
  <c r="W12" i="9" s="1"/>
  <c r="K12" i="7"/>
  <c r="K12" i="5"/>
  <c r="K44" i="3"/>
  <c r="C12" i="9"/>
  <c r="O12" i="9" s="1"/>
  <c r="C12" i="7"/>
  <c r="C44" i="3"/>
  <c r="C12" i="5"/>
  <c r="J10" i="9"/>
  <c r="V10" i="9" s="1"/>
  <c r="J10" i="7"/>
  <c r="J10" i="5"/>
  <c r="V10" i="5" s="1"/>
  <c r="J42" i="3"/>
  <c r="H11" i="9"/>
  <c r="T11" i="9" s="1"/>
  <c r="H11" i="5"/>
  <c r="T11" i="5" s="1"/>
  <c r="H11" i="7"/>
  <c r="H43" i="3"/>
  <c r="D11" i="3"/>
  <c r="E13" i="12"/>
  <c r="E13" i="13" s="1"/>
  <c r="Q12" i="7"/>
  <c r="B12" i="9"/>
  <c r="N12" i="9" s="1"/>
  <c r="B12" i="7"/>
  <c r="B44" i="3"/>
  <c r="B12" i="5"/>
  <c r="I11" i="9"/>
  <c r="U11" i="9" s="1"/>
  <c r="I11" i="5"/>
  <c r="U11" i="5" s="1"/>
  <c r="I11" i="7"/>
  <c r="I43" i="3"/>
  <c r="G11" i="3"/>
  <c r="Q12" i="5"/>
  <c r="E44" i="9"/>
  <c r="E44" i="7"/>
  <c r="E44" i="5"/>
  <c r="I43" i="9" l="1"/>
  <c r="I43" i="7"/>
  <c r="I43" i="5"/>
  <c r="N12" i="5"/>
  <c r="C13" i="12"/>
  <c r="C13" i="13" s="1"/>
  <c r="O12" i="7"/>
  <c r="J42" i="9"/>
  <c r="J42" i="7"/>
  <c r="J42" i="5"/>
  <c r="J11" i="12"/>
  <c r="J11" i="13" s="1"/>
  <c r="V10" i="7"/>
  <c r="O12" i="5"/>
  <c r="D11" i="9"/>
  <c r="P11" i="9" s="1"/>
  <c r="D11" i="7"/>
  <c r="D11" i="5"/>
  <c r="P11" i="5" s="1"/>
  <c r="D43" i="3"/>
  <c r="B13" i="12"/>
  <c r="B13" i="13" s="1"/>
  <c r="N12" i="7"/>
  <c r="C44" i="9"/>
  <c r="C44" i="7"/>
  <c r="C44" i="5"/>
  <c r="F11" i="9"/>
  <c r="R11" i="9" s="1"/>
  <c r="F11" i="5"/>
  <c r="R11" i="5" s="1"/>
  <c r="F43" i="3"/>
  <c r="F11" i="7"/>
  <c r="I12" i="12"/>
  <c r="I12" i="13" s="1"/>
  <c r="U11" i="7"/>
  <c r="B44" i="9"/>
  <c r="B44" i="7"/>
  <c r="B44" i="5"/>
  <c r="E11" i="3"/>
  <c r="K44" i="9"/>
  <c r="K44" i="7"/>
  <c r="K44" i="5"/>
  <c r="W12" i="5"/>
  <c r="K13" i="12"/>
  <c r="K13" i="13" s="1"/>
  <c r="W12" i="7"/>
  <c r="H43" i="9"/>
  <c r="H43" i="7"/>
  <c r="H43" i="5"/>
  <c r="G11" i="9"/>
  <c r="S11" i="9" s="1"/>
  <c r="G11" i="5"/>
  <c r="S11" i="5" s="1"/>
  <c r="G11" i="7"/>
  <c r="G43" i="3"/>
  <c r="H12" i="12"/>
  <c r="H12" i="13" s="1"/>
  <c r="T11" i="7"/>
  <c r="F43" i="9" l="1"/>
  <c r="F43" i="5"/>
  <c r="F43" i="7"/>
  <c r="K11" i="3"/>
  <c r="D43" i="7"/>
  <c r="D43" i="9"/>
  <c r="D43" i="5"/>
  <c r="I10" i="3"/>
  <c r="J9" i="3"/>
  <c r="J41" i="3"/>
  <c r="G43" i="9"/>
  <c r="G43" i="5"/>
  <c r="G43" i="7"/>
  <c r="D12" i="12"/>
  <c r="D12" i="13" s="1"/>
  <c r="P11" i="7"/>
  <c r="F12" i="12"/>
  <c r="F12" i="13" s="1"/>
  <c r="R11" i="7"/>
  <c r="C11" i="3"/>
  <c r="E11" i="9"/>
  <c r="Q11" i="9" s="1"/>
  <c r="E11" i="7"/>
  <c r="E11" i="5"/>
  <c r="Q11" i="5" s="1"/>
  <c r="E43" i="3"/>
  <c r="G12" i="12"/>
  <c r="G12" i="13" s="1"/>
  <c r="S11" i="7"/>
  <c r="B11" i="3"/>
  <c r="H10" i="3"/>
  <c r="G10" i="3" l="1"/>
  <c r="E43" i="9"/>
  <c r="E43" i="5"/>
  <c r="E43" i="7"/>
  <c r="B11" i="5"/>
  <c r="N11" i="5" s="1"/>
  <c r="B11" i="9"/>
  <c r="N11" i="9" s="1"/>
  <c r="B43" i="3"/>
  <c r="B11" i="7"/>
  <c r="I10" i="9"/>
  <c r="U10" i="9" s="1"/>
  <c r="I10" i="7"/>
  <c r="I10" i="5"/>
  <c r="U10" i="5" s="1"/>
  <c r="I42" i="3"/>
  <c r="J9" i="9"/>
  <c r="V9" i="9" s="1"/>
  <c r="J9" i="5"/>
  <c r="V9" i="5" s="1"/>
  <c r="J9" i="7"/>
  <c r="E12" i="12"/>
  <c r="E12" i="13" s="1"/>
  <c r="Q11" i="7"/>
  <c r="C11" i="9"/>
  <c r="O11" i="9" s="1"/>
  <c r="C11" i="7"/>
  <c r="C43" i="3"/>
  <c r="C11" i="5"/>
  <c r="O11" i="5" s="1"/>
  <c r="F10" i="3"/>
  <c r="J41" i="9"/>
  <c r="V41" i="9" s="1"/>
  <c r="J41" i="7"/>
  <c r="J41" i="5"/>
  <c r="D10" i="3"/>
  <c r="K11" i="9"/>
  <c r="W11" i="9" s="1"/>
  <c r="K11" i="7"/>
  <c r="K11" i="5"/>
  <c r="W11" i="5" s="1"/>
  <c r="K43" i="3"/>
  <c r="H10" i="9"/>
  <c r="T10" i="9" s="1"/>
  <c r="H10" i="7"/>
  <c r="H10" i="5"/>
  <c r="T10" i="5" s="1"/>
  <c r="H42" i="3"/>
  <c r="J10" i="12" l="1"/>
  <c r="J10" i="13" s="1"/>
  <c r="V9" i="7"/>
  <c r="V41" i="5"/>
  <c r="J8" i="3"/>
  <c r="J40" i="3"/>
  <c r="F10" i="5"/>
  <c r="R10" i="5" s="1"/>
  <c r="F10" i="7"/>
  <c r="F10" i="9"/>
  <c r="R10" i="9" s="1"/>
  <c r="F42" i="3"/>
  <c r="B43" i="9"/>
  <c r="B43" i="7"/>
  <c r="B43" i="5"/>
  <c r="I42" i="9"/>
  <c r="I42" i="5"/>
  <c r="I42" i="7"/>
  <c r="V41" i="7"/>
  <c r="J10" i="10"/>
  <c r="J24" i="10" s="1"/>
  <c r="I11" i="12"/>
  <c r="I11" i="13" s="1"/>
  <c r="U10" i="7"/>
  <c r="B12" i="12"/>
  <c r="B12" i="13" s="1"/>
  <c r="N11" i="7"/>
  <c r="H42" i="9"/>
  <c r="H42" i="5"/>
  <c r="H42" i="7"/>
  <c r="C12" i="12"/>
  <c r="C12" i="13" s="1"/>
  <c r="O11" i="7"/>
  <c r="H11" i="12"/>
  <c r="H11" i="13" s="1"/>
  <c r="T10" i="7"/>
  <c r="E10" i="3"/>
  <c r="K12" i="12"/>
  <c r="K12" i="13" s="1"/>
  <c r="W11" i="7"/>
  <c r="D10" i="9"/>
  <c r="P10" i="9" s="1"/>
  <c r="D10" i="7"/>
  <c r="D10" i="5"/>
  <c r="P10" i="5" s="1"/>
  <c r="D42" i="3"/>
  <c r="C43" i="9"/>
  <c r="C43" i="7"/>
  <c r="C43" i="5"/>
  <c r="K43" i="9"/>
  <c r="K43" i="7"/>
  <c r="K43" i="5"/>
  <c r="G10" i="9"/>
  <c r="S10" i="9" s="1"/>
  <c r="G10" i="7"/>
  <c r="G10" i="5"/>
  <c r="S10" i="5" s="1"/>
  <c r="G42" i="3"/>
  <c r="K10" i="3" l="1"/>
  <c r="I9" i="3"/>
  <c r="I41" i="3"/>
  <c r="B10" i="3"/>
  <c r="D42" i="9"/>
  <c r="D42" i="7"/>
  <c r="D42" i="5"/>
  <c r="J8" i="9"/>
  <c r="V8" i="9" s="1"/>
  <c r="J8" i="7"/>
  <c r="J8" i="5"/>
  <c r="V8" i="5" s="1"/>
  <c r="D11" i="12"/>
  <c r="D11" i="13" s="1"/>
  <c r="P10" i="7"/>
  <c r="F11" i="12"/>
  <c r="F11" i="13" s="1"/>
  <c r="R10" i="7"/>
  <c r="C10" i="3"/>
  <c r="J40" i="9"/>
  <c r="J40" i="7"/>
  <c r="J40" i="5"/>
  <c r="H9" i="3"/>
  <c r="H41" i="3"/>
  <c r="F42" i="9"/>
  <c r="F42" i="7"/>
  <c r="F42" i="5"/>
  <c r="G42" i="9"/>
  <c r="G42" i="7"/>
  <c r="G42" i="5"/>
  <c r="E10" i="9"/>
  <c r="Q10" i="9" s="1"/>
  <c r="E10" i="7"/>
  <c r="E10" i="5"/>
  <c r="Q10" i="5" s="1"/>
  <c r="E42" i="3"/>
  <c r="G11" i="12"/>
  <c r="G11" i="13" s="1"/>
  <c r="S10" i="7"/>
  <c r="J38" i="12"/>
  <c r="J38" i="13" s="1"/>
  <c r="J38" i="10"/>
  <c r="F9" i="3" l="1"/>
  <c r="F41" i="3"/>
  <c r="J9" i="12"/>
  <c r="J9" i="13" s="1"/>
  <c r="V8" i="7"/>
  <c r="H41" i="9"/>
  <c r="T41" i="9" s="1"/>
  <c r="H41" i="7"/>
  <c r="H41" i="5"/>
  <c r="H9" i="9"/>
  <c r="T9" i="9" s="1"/>
  <c r="H9" i="7"/>
  <c r="H9" i="5"/>
  <c r="T9" i="5" s="1"/>
  <c r="B10" i="9"/>
  <c r="N10" i="9" s="1"/>
  <c r="B10" i="7"/>
  <c r="B10" i="5"/>
  <c r="N10" i="5" s="1"/>
  <c r="B42" i="3"/>
  <c r="E42" i="9"/>
  <c r="E42" i="7"/>
  <c r="E42" i="5"/>
  <c r="D9" i="3"/>
  <c r="D41" i="3"/>
  <c r="V40" i="5"/>
  <c r="J7" i="3"/>
  <c r="J39" i="3"/>
  <c r="V40" i="7"/>
  <c r="J9" i="10"/>
  <c r="J23" i="10" s="1"/>
  <c r="J27" i="12"/>
  <c r="J27" i="13" s="1"/>
  <c r="V40" i="9"/>
  <c r="C10" i="9"/>
  <c r="O10" i="9" s="1"/>
  <c r="C10" i="7"/>
  <c r="C10" i="5"/>
  <c r="O10" i="5" s="1"/>
  <c r="C42" i="3"/>
  <c r="I41" i="9"/>
  <c r="U41" i="9" s="1"/>
  <c r="I41" i="7"/>
  <c r="I41" i="5"/>
  <c r="I9" i="9"/>
  <c r="U9" i="9" s="1"/>
  <c r="I9" i="7"/>
  <c r="I9" i="5"/>
  <c r="U9" i="5" s="1"/>
  <c r="E11" i="12"/>
  <c r="E11" i="13" s="1"/>
  <c r="Q10" i="7"/>
  <c r="K10" i="7"/>
  <c r="K42" i="3"/>
  <c r="K10" i="9"/>
  <c r="W10" i="9" s="1"/>
  <c r="K10" i="5"/>
  <c r="W10" i="5" s="1"/>
  <c r="G9" i="3"/>
  <c r="G41" i="3"/>
  <c r="K42" i="9" l="1"/>
  <c r="K42" i="7"/>
  <c r="K42" i="5"/>
  <c r="I10" i="12"/>
  <c r="I10" i="13" s="1"/>
  <c r="U9" i="7"/>
  <c r="G41" i="9"/>
  <c r="S41" i="9" s="1"/>
  <c r="G41" i="7"/>
  <c r="G41" i="5"/>
  <c r="J37" i="12"/>
  <c r="J37" i="13" s="1"/>
  <c r="J37" i="10"/>
  <c r="T41" i="7"/>
  <c r="H10" i="10"/>
  <c r="H24" i="10" s="1"/>
  <c r="D41" i="9"/>
  <c r="P41" i="9" s="1"/>
  <c r="D41" i="7"/>
  <c r="D41" i="5"/>
  <c r="C42" i="9"/>
  <c r="C42" i="7"/>
  <c r="C42" i="5"/>
  <c r="H10" i="12"/>
  <c r="H10" i="13" s="1"/>
  <c r="T9" i="7"/>
  <c r="B42" i="7"/>
  <c r="B42" i="9"/>
  <c r="B42" i="5"/>
  <c r="J39" i="7"/>
  <c r="J39" i="9"/>
  <c r="J39" i="5"/>
  <c r="D9" i="9"/>
  <c r="P9" i="9" s="1"/>
  <c r="D9" i="7"/>
  <c r="D9" i="5"/>
  <c r="P9" i="5" s="1"/>
  <c r="U41" i="5"/>
  <c r="I8" i="3"/>
  <c r="I40" i="3"/>
  <c r="F41" i="9"/>
  <c r="R41" i="9" s="1"/>
  <c r="F41" i="7"/>
  <c r="F41" i="5"/>
  <c r="U41" i="7"/>
  <c r="I10" i="10"/>
  <c r="I24" i="10" s="1"/>
  <c r="E9" i="3"/>
  <c r="E41" i="3"/>
  <c r="F9" i="7"/>
  <c r="F9" i="5"/>
  <c r="R9" i="5" s="1"/>
  <c r="F9" i="9"/>
  <c r="R9" i="9" s="1"/>
  <c r="G9" i="9"/>
  <c r="S9" i="9" s="1"/>
  <c r="G9" i="7"/>
  <c r="G9" i="5"/>
  <c r="S9" i="5" s="1"/>
  <c r="C11" i="12"/>
  <c r="C11" i="13" s="1"/>
  <c r="O10" i="7"/>
  <c r="B11" i="12"/>
  <c r="B11" i="13" s="1"/>
  <c r="N10" i="7"/>
  <c r="K11" i="12"/>
  <c r="K11" i="13" s="1"/>
  <c r="W10" i="7"/>
  <c r="T41" i="5"/>
  <c r="H8" i="3"/>
  <c r="H40" i="3"/>
  <c r="J7" i="9"/>
  <c r="V7" i="9" s="1"/>
  <c r="J7" i="7"/>
  <c r="J7" i="5"/>
  <c r="V7" i="5" s="1"/>
  <c r="G10" i="12" l="1"/>
  <c r="G10" i="13" s="1"/>
  <c r="S9" i="7"/>
  <c r="J8" i="12"/>
  <c r="J8" i="13" s="1"/>
  <c r="V7" i="7"/>
  <c r="F10" i="12"/>
  <c r="F10" i="13" s="1"/>
  <c r="R9" i="7"/>
  <c r="I8" i="9"/>
  <c r="U8" i="9" s="1"/>
  <c r="I8" i="7"/>
  <c r="I8" i="5"/>
  <c r="U8" i="5" s="1"/>
  <c r="H8" i="9"/>
  <c r="T8" i="9" s="1"/>
  <c r="H8" i="7"/>
  <c r="H8" i="5"/>
  <c r="T8" i="5" s="1"/>
  <c r="H40" i="9"/>
  <c r="H40" i="5"/>
  <c r="H40" i="7"/>
  <c r="E41" i="9"/>
  <c r="Q41" i="9" s="1"/>
  <c r="E41" i="7"/>
  <c r="E41" i="5"/>
  <c r="B9" i="3"/>
  <c r="B41" i="3"/>
  <c r="D10" i="12"/>
  <c r="D10" i="13" s="1"/>
  <c r="P9" i="7"/>
  <c r="P41" i="5"/>
  <c r="D8" i="3"/>
  <c r="D40" i="3"/>
  <c r="V39" i="7"/>
  <c r="J8" i="10"/>
  <c r="J22" i="10" s="1"/>
  <c r="E9" i="9"/>
  <c r="Q9" i="9" s="1"/>
  <c r="E9" i="7"/>
  <c r="E9" i="5"/>
  <c r="Q9" i="5" s="1"/>
  <c r="K9" i="3"/>
  <c r="K41" i="3"/>
  <c r="I40" i="5"/>
  <c r="I40" i="7"/>
  <c r="I40" i="9"/>
  <c r="P41" i="7"/>
  <c r="D10" i="10"/>
  <c r="D24" i="10" s="1"/>
  <c r="H38" i="12"/>
  <c r="H38" i="13" s="1"/>
  <c r="H38" i="10"/>
  <c r="I38" i="12"/>
  <c r="I38" i="13" s="1"/>
  <c r="I38" i="10"/>
  <c r="R41" i="5"/>
  <c r="F8" i="3"/>
  <c r="F40" i="3"/>
  <c r="R41" i="7"/>
  <c r="F10" i="10"/>
  <c r="F24" i="10" s="1"/>
  <c r="C9" i="3"/>
  <c r="C41" i="3"/>
  <c r="V39" i="5"/>
  <c r="J6" i="3"/>
  <c r="J38" i="3"/>
  <c r="J26" i="12"/>
  <c r="J26" i="13" s="1"/>
  <c r="V39" i="9"/>
  <c r="S41" i="5"/>
  <c r="G8" i="3"/>
  <c r="G40" i="3"/>
  <c r="S41" i="7"/>
  <c r="G10" i="10"/>
  <c r="G24" i="10" s="1"/>
  <c r="F8" i="9" l="1"/>
  <c r="R8" i="9" s="1"/>
  <c r="F8" i="7"/>
  <c r="F8" i="5"/>
  <c r="R8" i="5" s="1"/>
  <c r="F38" i="12"/>
  <c r="F38" i="13" s="1"/>
  <c r="F38" i="10"/>
  <c r="E10" i="12"/>
  <c r="E10" i="13" s="1"/>
  <c r="Q9" i="7"/>
  <c r="J36" i="12"/>
  <c r="J36" i="13" s="1"/>
  <c r="J36" i="10"/>
  <c r="I9" i="12"/>
  <c r="I9" i="13" s="1"/>
  <c r="U8" i="7"/>
  <c r="T40" i="5"/>
  <c r="H7" i="3"/>
  <c r="H39" i="3"/>
  <c r="G8" i="9"/>
  <c r="S8" i="9" s="1"/>
  <c r="G8" i="7"/>
  <c r="G8" i="5"/>
  <c r="S8" i="5" s="1"/>
  <c r="D8" i="9"/>
  <c r="P8" i="9" s="1"/>
  <c r="D8" i="7"/>
  <c r="D8" i="5"/>
  <c r="P8" i="5" s="1"/>
  <c r="D40" i="9"/>
  <c r="D40" i="7"/>
  <c r="D40" i="5"/>
  <c r="G38" i="10"/>
  <c r="G38" i="12"/>
  <c r="G38" i="13" s="1"/>
  <c r="U40" i="5"/>
  <c r="I7" i="3"/>
  <c r="I39" i="3"/>
  <c r="T40" i="7"/>
  <c r="H9" i="10"/>
  <c r="H23" i="10" s="1"/>
  <c r="D38" i="12"/>
  <c r="D38" i="13" s="1"/>
  <c r="D38" i="10"/>
  <c r="J38" i="9"/>
  <c r="J38" i="7"/>
  <c r="J38" i="5"/>
  <c r="I27" i="12"/>
  <c r="I27" i="13" s="1"/>
  <c r="U40" i="9"/>
  <c r="B41" i="9"/>
  <c r="N41" i="9" s="1"/>
  <c r="B41" i="7"/>
  <c r="B41" i="5"/>
  <c r="B9" i="9"/>
  <c r="N9" i="9" s="1"/>
  <c r="B9" i="7"/>
  <c r="B9" i="5"/>
  <c r="N9" i="5" s="1"/>
  <c r="K41" i="9"/>
  <c r="W41" i="9" s="1"/>
  <c r="K41" i="7"/>
  <c r="K41" i="5"/>
  <c r="Q41" i="5"/>
  <c r="E8" i="3"/>
  <c r="E40" i="3"/>
  <c r="F40" i="9"/>
  <c r="F40" i="7"/>
  <c r="F40" i="5"/>
  <c r="H27" i="12"/>
  <c r="H27" i="13" s="1"/>
  <c r="T40" i="9"/>
  <c r="G40" i="7"/>
  <c r="G40" i="9"/>
  <c r="G40" i="5"/>
  <c r="H9" i="12"/>
  <c r="H9" i="13" s="1"/>
  <c r="T8" i="7"/>
  <c r="J6" i="9"/>
  <c r="V6" i="9" s="1"/>
  <c r="J6" i="7"/>
  <c r="J6" i="5"/>
  <c r="V6" i="5" s="1"/>
  <c r="U40" i="7"/>
  <c r="I9" i="10"/>
  <c r="I23" i="10" s="1"/>
  <c r="C41" i="9"/>
  <c r="O41" i="9" s="1"/>
  <c r="C41" i="7"/>
  <c r="C41" i="5"/>
  <c r="C9" i="9"/>
  <c r="O9" i="9" s="1"/>
  <c r="C9" i="7"/>
  <c r="C9" i="5"/>
  <c r="O9" i="5" s="1"/>
  <c r="K9" i="9"/>
  <c r="W9" i="9" s="1"/>
  <c r="K9" i="7"/>
  <c r="K9" i="5"/>
  <c r="W9" i="5" s="1"/>
  <c r="Q41" i="7"/>
  <c r="E10" i="10"/>
  <c r="E24" i="10" s="1"/>
  <c r="I37" i="12" l="1"/>
  <c r="I37" i="13" s="1"/>
  <c r="I37" i="10"/>
  <c r="H7" i="9"/>
  <c r="T7" i="9" s="1"/>
  <c r="H7" i="7"/>
  <c r="H7" i="5"/>
  <c r="T7" i="5" s="1"/>
  <c r="E8" i="9"/>
  <c r="Q8" i="9" s="1"/>
  <c r="E8" i="7"/>
  <c r="E8" i="5"/>
  <c r="Q8" i="5" s="1"/>
  <c r="H39" i="9"/>
  <c r="H39" i="5"/>
  <c r="H39" i="7"/>
  <c r="W41" i="5"/>
  <c r="K8" i="3"/>
  <c r="K40" i="3"/>
  <c r="W41" i="7"/>
  <c r="K10" i="10"/>
  <c r="K24" i="10" s="1"/>
  <c r="E38" i="12"/>
  <c r="E38" i="13" s="1"/>
  <c r="E38" i="10"/>
  <c r="P40" i="7"/>
  <c r="D9" i="10"/>
  <c r="D23" i="10" s="1"/>
  <c r="D27" i="12"/>
  <c r="D27" i="13" s="1"/>
  <c r="P40" i="9"/>
  <c r="G9" i="12"/>
  <c r="G9" i="13" s="1"/>
  <c r="S8" i="7"/>
  <c r="N41" i="5"/>
  <c r="B8" i="3"/>
  <c r="B40" i="3"/>
  <c r="S40" i="7"/>
  <c r="G9" i="10"/>
  <c r="G23" i="10" s="1"/>
  <c r="C10" i="12"/>
  <c r="C10" i="13" s="1"/>
  <c r="O9" i="7"/>
  <c r="R40" i="5"/>
  <c r="F7" i="3"/>
  <c r="F39" i="3"/>
  <c r="H37" i="12"/>
  <c r="H37" i="13" s="1"/>
  <c r="H37" i="10"/>
  <c r="I39" i="9"/>
  <c r="I39" i="5"/>
  <c r="I39" i="7"/>
  <c r="V38" i="5"/>
  <c r="J5" i="3"/>
  <c r="J37" i="3"/>
  <c r="I7" i="9"/>
  <c r="U7" i="9" s="1"/>
  <c r="I7" i="7"/>
  <c r="I7" i="5"/>
  <c r="U7" i="5" s="1"/>
  <c r="B10" i="12"/>
  <c r="B10" i="13" s="1"/>
  <c r="N9" i="7"/>
  <c r="K10" i="12"/>
  <c r="K10" i="13" s="1"/>
  <c r="W9" i="7"/>
  <c r="P40" i="5"/>
  <c r="D7" i="3"/>
  <c r="D39" i="3"/>
  <c r="R40" i="7"/>
  <c r="F9" i="10"/>
  <c r="F23" i="10" s="1"/>
  <c r="F27" i="12"/>
  <c r="F27" i="13" s="1"/>
  <c r="R40" i="9"/>
  <c r="F9" i="12"/>
  <c r="F9" i="13" s="1"/>
  <c r="R8" i="7"/>
  <c r="J7" i="12"/>
  <c r="J7" i="13" s="1"/>
  <c r="V6" i="7"/>
  <c r="S40" i="5"/>
  <c r="G7" i="3"/>
  <c r="G39" i="3"/>
  <c r="G27" i="12"/>
  <c r="G27" i="13" s="1"/>
  <c r="S40" i="9"/>
  <c r="N41" i="7"/>
  <c r="B10" i="10"/>
  <c r="B24" i="10" s="1"/>
  <c r="O41" i="5"/>
  <c r="C8" i="3"/>
  <c r="C40" i="3"/>
  <c r="D9" i="12"/>
  <c r="D9" i="13" s="1"/>
  <c r="P8" i="7"/>
  <c r="O41" i="7"/>
  <c r="C10" i="10"/>
  <c r="C24" i="10" s="1"/>
  <c r="V38" i="7"/>
  <c r="J7" i="10"/>
  <c r="J21" i="10" s="1"/>
  <c r="E40" i="9"/>
  <c r="E40" i="7"/>
  <c r="E40" i="5"/>
  <c r="J25" i="12"/>
  <c r="J25" i="13" s="1"/>
  <c r="V38" i="9"/>
  <c r="I8" i="12" l="1"/>
  <c r="I8" i="13" s="1"/>
  <c r="U7" i="7"/>
  <c r="K38" i="12"/>
  <c r="K38" i="13" s="1"/>
  <c r="K38" i="10"/>
  <c r="K8" i="9"/>
  <c r="W8" i="9" s="1"/>
  <c r="K8" i="7"/>
  <c r="K8" i="5"/>
  <c r="W8" i="5" s="1"/>
  <c r="E9" i="12"/>
  <c r="E9" i="13" s="1"/>
  <c r="Q8" i="7"/>
  <c r="G39" i="7"/>
  <c r="G39" i="9"/>
  <c r="G39" i="5"/>
  <c r="Q40" i="7"/>
  <c r="E9" i="10"/>
  <c r="E23" i="10" s="1"/>
  <c r="G37" i="12"/>
  <c r="G37" i="13" s="1"/>
  <c r="G37" i="10"/>
  <c r="C38" i="12"/>
  <c r="C38" i="13" s="1"/>
  <c r="C38" i="10"/>
  <c r="H26" i="12"/>
  <c r="H26" i="13" s="1"/>
  <c r="T39" i="9"/>
  <c r="C40" i="9"/>
  <c r="C40" i="7"/>
  <c r="C40" i="5"/>
  <c r="K40" i="9"/>
  <c r="K40" i="7"/>
  <c r="K40" i="5"/>
  <c r="T39" i="5"/>
  <c r="H6" i="3"/>
  <c r="H38" i="3"/>
  <c r="U39" i="7"/>
  <c r="I8" i="10"/>
  <c r="I22" i="10" s="1"/>
  <c r="C8" i="9"/>
  <c r="O8" i="9" s="1"/>
  <c r="C8" i="7"/>
  <c r="C8" i="5"/>
  <c r="O8" i="5" s="1"/>
  <c r="D39" i="7"/>
  <c r="D39" i="5"/>
  <c r="D39" i="9"/>
  <c r="D37" i="12"/>
  <c r="D37" i="13" s="1"/>
  <c r="D37" i="10"/>
  <c r="H8" i="12"/>
  <c r="H8" i="13" s="1"/>
  <c r="T7" i="7"/>
  <c r="B40" i="9"/>
  <c r="B40" i="7"/>
  <c r="B40" i="5"/>
  <c r="J37" i="9"/>
  <c r="J37" i="5"/>
  <c r="J37" i="7"/>
  <c r="J5" i="5"/>
  <c r="V5" i="5" s="1"/>
  <c r="J5" i="9"/>
  <c r="V5" i="9" s="1"/>
  <c r="J5" i="7"/>
  <c r="F37" i="12"/>
  <c r="F37" i="13" s="1"/>
  <c r="F37" i="10"/>
  <c r="G7" i="9"/>
  <c r="S7" i="9" s="1"/>
  <c r="G7" i="7"/>
  <c r="G7" i="5"/>
  <c r="S7" i="5" s="1"/>
  <c r="B8" i="9"/>
  <c r="N8" i="9" s="1"/>
  <c r="B8" i="7"/>
  <c r="B8" i="5"/>
  <c r="N8" i="5" s="1"/>
  <c r="U39" i="5"/>
  <c r="I6" i="3"/>
  <c r="I38" i="3"/>
  <c r="F39" i="7"/>
  <c r="F39" i="9"/>
  <c r="F39" i="5"/>
  <c r="Q40" i="5"/>
  <c r="E7" i="3"/>
  <c r="E39" i="3"/>
  <c r="E27" i="12"/>
  <c r="E27" i="13" s="1"/>
  <c r="Q40" i="9"/>
  <c r="J35" i="12"/>
  <c r="J35" i="13" s="1"/>
  <c r="J35" i="10"/>
  <c r="T39" i="7"/>
  <c r="H8" i="10"/>
  <c r="H22" i="10" s="1"/>
  <c r="I26" i="12"/>
  <c r="I26" i="13" s="1"/>
  <c r="U39" i="9"/>
  <c r="B38" i="12"/>
  <c r="B38" i="13" s="1"/>
  <c r="B38" i="10"/>
  <c r="D7" i="9"/>
  <c r="P7" i="9" s="1"/>
  <c r="D7" i="7"/>
  <c r="D7" i="5"/>
  <c r="P7" i="5" s="1"/>
  <c r="F7" i="9"/>
  <c r="R7" i="9" s="1"/>
  <c r="F7" i="7"/>
  <c r="F7" i="5"/>
  <c r="R7" i="5" s="1"/>
  <c r="N40" i="5" l="1"/>
  <c r="B7" i="3"/>
  <c r="B39" i="3"/>
  <c r="V37" i="5"/>
  <c r="J4" i="3"/>
  <c r="J36" i="3"/>
  <c r="I6" i="9"/>
  <c r="U6" i="9" s="1"/>
  <c r="I6" i="7"/>
  <c r="I6" i="5"/>
  <c r="U6" i="5" s="1"/>
  <c r="R39" i="5"/>
  <c r="F6" i="3"/>
  <c r="F38" i="3"/>
  <c r="G26" i="12"/>
  <c r="G26" i="13" s="1"/>
  <c r="S39" i="9"/>
  <c r="K9" i="12"/>
  <c r="K9" i="13" s="1"/>
  <c r="W8" i="7"/>
  <c r="I36" i="12"/>
  <c r="I36" i="13" s="1"/>
  <c r="I36" i="10"/>
  <c r="E37" i="12"/>
  <c r="E37" i="13" s="1"/>
  <c r="E37" i="10"/>
  <c r="H38" i="9"/>
  <c r="H38" i="7"/>
  <c r="H38" i="5"/>
  <c r="S39" i="5"/>
  <c r="G6" i="3"/>
  <c r="G38" i="3"/>
  <c r="H36" i="12"/>
  <c r="H36" i="13" s="1"/>
  <c r="H36" i="10"/>
  <c r="K27" i="12"/>
  <c r="K27" i="13" s="1"/>
  <c r="W40" i="9"/>
  <c r="O40" i="5"/>
  <c r="C7" i="3"/>
  <c r="C39" i="3"/>
  <c r="C27" i="12"/>
  <c r="C27" i="13" s="1"/>
  <c r="O40" i="9"/>
  <c r="V37" i="7"/>
  <c r="J6" i="10"/>
  <c r="J20" i="10" s="1"/>
  <c r="R39" i="7"/>
  <c r="F8" i="10"/>
  <c r="F22" i="10" s="1"/>
  <c r="W40" i="5"/>
  <c r="K7" i="3"/>
  <c r="K39" i="3"/>
  <c r="W40" i="7"/>
  <c r="K9" i="10"/>
  <c r="K23" i="10" s="1"/>
  <c r="P39" i="5"/>
  <c r="D6" i="3"/>
  <c r="D38" i="3"/>
  <c r="D8" i="12"/>
  <c r="D8" i="13" s="1"/>
  <c r="P7" i="7"/>
  <c r="J24" i="12"/>
  <c r="J24" i="13" s="1"/>
  <c r="V37" i="9"/>
  <c r="S39" i="7"/>
  <c r="G8" i="10"/>
  <c r="G22" i="10" s="1"/>
  <c r="G8" i="12"/>
  <c r="G8" i="13" s="1"/>
  <c r="S7" i="7"/>
  <c r="O40" i="7"/>
  <c r="C9" i="10"/>
  <c r="C23" i="10" s="1"/>
  <c r="E39" i="7"/>
  <c r="E39" i="9"/>
  <c r="E39" i="5"/>
  <c r="P39" i="7"/>
  <c r="D8" i="10"/>
  <c r="D22" i="10" s="1"/>
  <c r="H6" i="9"/>
  <c r="T6" i="9" s="1"/>
  <c r="H6" i="7"/>
  <c r="H6" i="5"/>
  <c r="T6" i="5" s="1"/>
  <c r="N40" i="7"/>
  <c r="B9" i="10"/>
  <c r="B23" i="10" s="1"/>
  <c r="F26" i="12"/>
  <c r="F26" i="13" s="1"/>
  <c r="R39" i="9"/>
  <c r="I38" i="7"/>
  <c r="I38" i="9"/>
  <c r="I38" i="5"/>
  <c r="B27" i="12"/>
  <c r="B27" i="13" s="1"/>
  <c r="N40" i="9"/>
  <c r="B9" i="12"/>
  <c r="B9" i="13" s="1"/>
  <c r="N8" i="7"/>
  <c r="D26" i="12"/>
  <c r="D26" i="13" s="1"/>
  <c r="P39" i="9"/>
  <c r="F8" i="12"/>
  <c r="F8" i="13" s="1"/>
  <c r="R7" i="7"/>
  <c r="E7" i="9"/>
  <c r="Q7" i="9" s="1"/>
  <c r="E7" i="7"/>
  <c r="E7" i="5"/>
  <c r="Q7" i="5" s="1"/>
  <c r="J6" i="12"/>
  <c r="J6" i="13" s="1"/>
  <c r="V5" i="7"/>
  <c r="C9" i="12"/>
  <c r="C9" i="13" s="1"/>
  <c r="O8" i="7"/>
  <c r="H7" i="12" l="1"/>
  <c r="H7" i="13" s="1"/>
  <c r="T6" i="7"/>
  <c r="F38" i="7"/>
  <c r="F38" i="5"/>
  <c r="F38" i="9"/>
  <c r="C7" i="9"/>
  <c r="O7" i="9" s="1"/>
  <c r="C7" i="7"/>
  <c r="C7" i="5"/>
  <c r="O7" i="5" s="1"/>
  <c r="D6" i="9"/>
  <c r="P6" i="9" s="1"/>
  <c r="D6" i="7"/>
  <c r="D6" i="5"/>
  <c r="P6" i="5" s="1"/>
  <c r="Q39" i="5"/>
  <c r="E6" i="3"/>
  <c r="E38" i="3"/>
  <c r="Q39" i="9"/>
  <c r="E26" i="12"/>
  <c r="E26" i="13" s="1"/>
  <c r="T38" i="7"/>
  <c r="H7" i="10"/>
  <c r="H21" i="10" s="1"/>
  <c r="J36" i="9"/>
  <c r="J36" i="7"/>
  <c r="J36" i="5"/>
  <c r="G38" i="7"/>
  <c r="G38" i="9"/>
  <c r="G38" i="5"/>
  <c r="I7" i="12"/>
  <c r="I7" i="13" s="1"/>
  <c r="U6" i="7"/>
  <c r="T38" i="5"/>
  <c r="H5" i="3"/>
  <c r="H37" i="3"/>
  <c r="J4" i="9"/>
  <c r="V4" i="9" s="1"/>
  <c r="J4" i="7"/>
  <c r="J4" i="5"/>
  <c r="V4" i="5" s="1"/>
  <c r="D38" i="7"/>
  <c r="D38" i="9"/>
  <c r="D38" i="5"/>
  <c r="D36" i="12"/>
  <c r="D36" i="13" s="1"/>
  <c r="D36" i="10"/>
  <c r="K37" i="12"/>
  <c r="K37" i="13" s="1"/>
  <c r="K37" i="10"/>
  <c r="K39" i="9"/>
  <c r="K39" i="7"/>
  <c r="K39" i="5"/>
  <c r="K7" i="9"/>
  <c r="W7" i="9" s="1"/>
  <c r="K7" i="7"/>
  <c r="K7" i="5"/>
  <c r="W7" i="5" s="1"/>
  <c r="U38" i="5"/>
  <c r="I5" i="3"/>
  <c r="I37" i="3"/>
  <c r="H25" i="12"/>
  <c r="H25" i="13" s="1"/>
  <c r="T38" i="9"/>
  <c r="F6" i="9"/>
  <c r="R6" i="9" s="1"/>
  <c r="F6" i="5"/>
  <c r="R6" i="5" s="1"/>
  <c r="F6" i="7"/>
  <c r="C37" i="12"/>
  <c r="C37" i="13" s="1"/>
  <c r="C37" i="10"/>
  <c r="F36" i="12"/>
  <c r="F36" i="13" s="1"/>
  <c r="F36" i="10"/>
  <c r="U38" i="7"/>
  <c r="I7" i="10"/>
  <c r="I21" i="10" s="1"/>
  <c r="G36" i="12"/>
  <c r="G36" i="13" s="1"/>
  <c r="G36" i="10"/>
  <c r="B39" i="9"/>
  <c r="B39" i="7"/>
  <c r="B39" i="5"/>
  <c r="Q39" i="7"/>
  <c r="E8" i="10"/>
  <c r="E22" i="10" s="1"/>
  <c r="G6" i="9"/>
  <c r="S6" i="9" s="1"/>
  <c r="G6" i="7"/>
  <c r="G6" i="5"/>
  <c r="S6" i="5" s="1"/>
  <c r="U38" i="9"/>
  <c r="I25" i="12"/>
  <c r="I25" i="13" s="1"/>
  <c r="B37" i="12"/>
  <c r="B37" i="13" s="1"/>
  <c r="B37" i="10"/>
  <c r="B7" i="5"/>
  <c r="N7" i="5" s="1"/>
  <c r="B7" i="9"/>
  <c r="N7" i="9" s="1"/>
  <c r="B7" i="7"/>
  <c r="J34" i="12"/>
  <c r="J34" i="13" s="1"/>
  <c r="J34" i="10"/>
  <c r="E8" i="12"/>
  <c r="E8" i="13" s="1"/>
  <c r="Q7" i="7"/>
  <c r="C39" i="9"/>
  <c r="C39" i="7"/>
  <c r="C39" i="5"/>
  <c r="J5" i="12" l="1"/>
  <c r="J5" i="13" s="1"/>
  <c r="V4" i="7"/>
  <c r="E38" i="7"/>
  <c r="E38" i="9"/>
  <c r="E38" i="5"/>
  <c r="H37" i="9"/>
  <c r="H37" i="7"/>
  <c r="H37" i="5"/>
  <c r="G25" i="12"/>
  <c r="G25" i="13" s="1"/>
  <c r="S38" i="9"/>
  <c r="H5" i="9"/>
  <c r="T5" i="9" s="1"/>
  <c r="H5" i="7"/>
  <c r="H5" i="5"/>
  <c r="T5" i="5" s="1"/>
  <c r="N39" i="5"/>
  <c r="B6" i="3"/>
  <c r="B38" i="3"/>
  <c r="B26" i="12"/>
  <c r="B26" i="13" s="1"/>
  <c r="N39" i="9"/>
  <c r="K8" i="12"/>
  <c r="K8" i="13" s="1"/>
  <c r="W7" i="7"/>
  <c r="F7" i="12"/>
  <c r="F7" i="13" s="1"/>
  <c r="R6" i="7"/>
  <c r="V36" i="5"/>
  <c r="J3" i="3"/>
  <c r="J35" i="3"/>
  <c r="F25" i="12"/>
  <c r="F25" i="13" s="1"/>
  <c r="R38" i="9"/>
  <c r="B8" i="12"/>
  <c r="B8" i="13" s="1"/>
  <c r="N7" i="7"/>
  <c r="I35" i="12"/>
  <c r="I35" i="13" s="1"/>
  <c r="I35" i="10"/>
  <c r="W39" i="5"/>
  <c r="K6" i="3"/>
  <c r="K38" i="3"/>
  <c r="W39" i="7"/>
  <c r="K8" i="10"/>
  <c r="K22" i="10" s="1"/>
  <c r="G7" i="12"/>
  <c r="G7" i="13" s="1"/>
  <c r="S6" i="7"/>
  <c r="V36" i="7"/>
  <c r="J5" i="10"/>
  <c r="J19" i="10" s="1"/>
  <c r="R38" i="5"/>
  <c r="F5" i="3"/>
  <c r="F37" i="3"/>
  <c r="I5" i="7"/>
  <c r="I5" i="5"/>
  <c r="U5" i="5" s="1"/>
  <c r="I5" i="9"/>
  <c r="U5" i="9" s="1"/>
  <c r="S38" i="5"/>
  <c r="G5" i="3"/>
  <c r="G37" i="3"/>
  <c r="O39" i="5"/>
  <c r="C6" i="3"/>
  <c r="C38" i="3"/>
  <c r="P38" i="5"/>
  <c r="D5" i="3"/>
  <c r="D37" i="3"/>
  <c r="J23" i="12"/>
  <c r="J23" i="13" s="1"/>
  <c r="V36" i="9"/>
  <c r="R38" i="7"/>
  <c r="F7" i="10"/>
  <c r="F21" i="10" s="1"/>
  <c r="I37" i="9"/>
  <c r="I37" i="7"/>
  <c r="I37" i="5"/>
  <c r="D7" i="12"/>
  <c r="D7" i="13" s="1"/>
  <c r="P6" i="7"/>
  <c r="C8" i="12"/>
  <c r="C8" i="13" s="1"/>
  <c r="O7" i="7"/>
  <c r="S38" i="7"/>
  <c r="G7" i="10"/>
  <c r="G21" i="10" s="1"/>
  <c r="E36" i="12"/>
  <c r="E36" i="13" s="1"/>
  <c r="E36" i="10"/>
  <c r="D25" i="12"/>
  <c r="D25" i="13" s="1"/>
  <c r="P38" i="9"/>
  <c r="H35" i="12"/>
  <c r="H35" i="13" s="1"/>
  <c r="H35" i="10"/>
  <c r="N39" i="7"/>
  <c r="B8" i="10"/>
  <c r="B22" i="10" s="1"/>
  <c r="E6" i="9"/>
  <c r="Q6" i="9" s="1"/>
  <c r="E6" i="7"/>
  <c r="E6" i="5"/>
  <c r="Q6" i="5" s="1"/>
  <c r="K26" i="12"/>
  <c r="K26" i="13" s="1"/>
  <c r="W39" i="9"/>
  <c r="O39" i="7"/>
  <c r="C8" i="10"/>
  <c r="C22" i="10" s="1"/>
  <c r="C26" i="12"/>
  <c r="C26" i="13" s="1"/>
  <c r="O39" i="9"/>
  <c r="P38" i="7"/>
  <c r="D7" i="10"/>
  <c r="D21" i="10" s="1"/>
  <c r="U37" i="5" l="1"/>
  <c r="I4" i="3"/>
  <c r="I36" i="3"/>
  <c r="B36" i="12"/>
  <c r="B36" i="13" s="1"/>
  <c r="B36" i="10"/>
  <c r="B6" i="9"/>
  <c r="N6" i="9" s="1"/>
  <c r="B6" i="7"/>
  <c r="B6" i="5"/>
  <c r="N6" i="5" s="1"/>
  <c r="I6" i="12"/>
  <c r="I6" i="13" s="1"/>
  <c r="U5" i="7"/>
  <c r="J35" i="9"/>
  <c r="J35" i="7"/>
  <c r="J35" i="5"/>
  <c r="T37" i="7"/>
  <c r="H6" i="10"/>
  <c r="H20" i="10" s="1"/>
  <c r="H24" i="12"/>
  <c r="H24" i="13" s="1"/>
  <c r="T37" i="9"/>
  <c r="U37" i="7"/>
  <c r="I6" i="10"/>
  <c r="I20" i="10" s="1"/>
  <c r="I24" i="12"/>
  <c r="I24" i="13" s="1"/>
  <c r="U37" i="9"/>
  <c r="F5" i="9"/>
  <c r="R5" i="9" s="1"/>
  <c r="F5" i="7"/>
  <c r="F5" i="5"/>
  <c r="R5" i="5" s="1"/>
  <c r="J33" i="12"/>
  <c r="J33" i="13" s="1"/>
  <c r="J33" i="10"/>
  <c r="Q38" i="5"/>
  <c r="E5" i="3"/>
  <c r="E37" i="3"/>
  <c r="B38" i="9"/>
  <c r="B38" i="7"/>
  <c r="B38" i="5"/>
  <c r="F37" i="7"/>
  <c r="F37" i="9"/>
  <c r="F37" i="5"/>
  <c r="E25" i="12"/>
  <c r="E25" i="13" s="1"/>
  <c r="Q38" i="9"/>
  <c r="G5" i="7"/>
  <c r="G5" i="5"/>
  <c r="S5" i="5" s="1"/>
  <c r="G5" i="9"/>
  <c r="S5" i="9" s="1"/>
  <c r="H6" i="12"/>
  <c r="H6" i="13" s="1"/>
  <c r="T5" i="7"/>
  <c r="D35" i="12"/>
  <c r="D35" i="13" s="1"/>
  <c r="D35" i="10"/>
  <c r="C38" i="9"/>
  <c r="C38" i="7"/>
  <c r="C38" i="5"/>
  <c r="Q38" i="7"/>
  <c r="E7" i="10"/>
  <c r="E21" i="10" s="1"/>
  <c r="E7" i="12"/>
  <c r="E7" i="13" s="1"/>
  <c r="Q6" i="7"/>
  <c r="F35" i="12"/>
  <c r="F35" i="13" s="1"/>
  <c r="F35" i="10"/>
  <c r="T37" i="5"/>
  <c r="H4" i="3"/>
  <c r="H36" i="3"/>
  <c r="D37" i="9"/>
  <c r="D37" i="7"/>
  <c r="D37" i="5"/>
  <c r="D5" i="9"/>
  <c r="P5" i="9" s="1"/>
  <c r="D5" i="7"/>
  <c r="D5" i="5"/>
  <c r="P5" i="5" s="1"/>
  <c r="K36" i="10"/>
  <c r="K36" i="12"/>
  <c r="K36" i="13" s="1"/>
  <c r="C6" i="9"/>
  <c r="O6" i="9" s="1"/>
  <c r="C6" i="7"/>
  <c r="C6" i="5"/>
  <c r="O6" i="5" s="1"/>
  <c r="K38" i="9"/>
  <c r="K38" i="7"/>
  <c r="K38" i="5"/>
  <c r="J3" i="9"/>
  <c r="V3" i="9" s="1"/>
  <c r="J3" i="7"/>
  <c r="J3" i="5"/>
  <c r="V3" i="5" s="1"/>
  <c r="G35" i="12"/>
  <c r="G35" i="13" s="1"/>
  <c r="G35" i="10"/>
  <c r="C36" i="12"/>
  <c r="C36" i="13" s="1"/>
  <c r="C36" i="10"/>
  <c r="G37" i="9"/>
  <c r="G37" i="7"/>
  <c r="G37" i="5"/>
  <c r="K6" i="7"/>
  <c r="K6" i="9"/>
  <c r="W6" i="9" s="1"/>
  <c r="K6" i="5"/>
  <c r="W6" i="5" s="1"/>
  <c r="S37" i="7" l="1"/>
  <c r="G6" i="10"/>
  <c r="G20" i="10" s="1"/>
  <c r="H34" i="12"/>
  <c r="H34" i="13" s="1"/>
  <c r="H34" i="10"/>
  <c r="C25" i="12"/>
  <c r="C25" i="13" s="1"/>
  <c r="O38" i="9"/>
  <c r="J22" i="12"/>
  <c r="J22" i="13" s="1"/>
  <c r="V35" i="9"/>
  <c r="K7" i="12"/>
  <c r="K7" i="13" s="1"/>
  <c r="W6" i="7"/>
  <c r="B25" i="12"/>
  <c r="B25" i="13" s="1"/>
  <c r="N38" i="9"/>
  <c r="V35" i="5"/>
  <c r="J2" i="3"/>
  <c r="J34" i="3"/>
  <c r="P37" i="7"/>
  <c r="D6" i="10"/>
  <c r="D20" i="10" s="1"/>
  <c r="E37" i="9"/>
  <c r="E37" i="7"/>
  <c r="E37" i="5"/>
  <c r="B7" i="12"/>
  <c r="B7" i="13" s="1"/>
  <c r="N6" i="7"/>
  <c r="V35" i="7"/>
  <c r="J4" i="10"/>
  <c r="J18" i="10" s="1"/>
  <c r="D24" i="12"/>
  <c r="D24" i="13" s="1"/>
  <c r="P37" i="9"/>
  <c r="H36" i="9"/>
  <c r="H36" i="7"/>
  <c r="H36" i="5"/>
  <c r="O38" i="5"/>
  <c r="C5" i="3"/>
  <c r="C37" i="3"/>
  <c r="H4" i="9"/>
  <c r="T4" i="9" s="1"/>
  <c r="H4" i="7"/>
  <c r="H4" i="5"/>
  <c r="T4" i="5" s="1"/>
  <c r="F6" i="12"/>
  <c r="F6" i="13" s="1"/>
  <c r="R5" i="7"/>
  <c r="G6" i="12"/>
  <c r="G6" i="13" s="1"/>
  <c r="S5" i="7"/>
  <c r="W38" i="7"/>
  <c r="K7" i="10"/>
  <c r="K21" i="10" s="1"/>
  <c r="S37" i="5"/>
  <c r="G4" i="3"/>
  <c r="G36" i="3"/>
  <c r="N38" i="5"/>
  <c r="B5" i="3"/>
  <c r="B37" i="3"/>
  <c r="N38" i="7"/>
  <c r="B7" i="10"/>
  <c r="B21" i="10" s="1"/>
  <c r="O38" i="7"/>
  <c r="C7" i="10"/>
  <c r="C21" i="10" s="1"/>
  <c r="P37" i="5"/>
  <c r="D4" i="3"/>
  <c r="D36" i="3"/>
  <c r="E5" i="9"/>
  <c r="Q5" i="9" s="1"/>
  <c r="E5" i="7"/>
  <c r="E5" i="5"/>
  <c r="Q5" i="5" s="1"/>
  <c r="W38" i="5"/>
  <c r="K5" i="3"/>
  <c r="K37" i="3"/>
  <c r="K25" i="12"/>
  <c r="K25" i="13" s="1"/>
  <c r="W38" i="9"/>
  <c r="R37" i="5"/>
  <c r="F4" i="3"/>
  <c r="F36" i="3"/>
  <c r="I34" i="12"/>
  <c r="I34" i="13" s="1"/>
  <c r="I34" i="10"/>
  <c r="I36" i="9"/>
  <c r="I36" i="5"/>
  <c r="I36" i="7"/>
  <c r="G24" i="12"/>
  <c r="G24" i="13" s="1"/>
  <c r="S37" i="9"/>
  <c r="D6" i="12"/>
  <c r="D6" i="13" s="1"/>
  <c r="P5" i="7"/>
  <c r="J4" i="12"/>
  <c r="J4" i="13" s="1"/>
  <c r="V3" i="7"/>
  <c r="C7" i="12"/>
  <c r="C7" i="13" s="1"/>
  <c r="O6" i="7"/>
  <c r="F24" i="12"/>
  <c r="F24" i="13" s="1"/>
  <c r="R37" i="9"/>
  <c r="I4" i="9"/>
  <c r="U4" i="9" s="1"/>
  <c r="I4" i="7"/>
  <c r="I4" i="5"/>
  <c r="U4" i="5" s="1"/>
  <c r="E35" i="10"/>
  <c r="E35" i="12"/>
  <c r="E35" i="13" s="1"/>
  <c r="R37" i="7"/>
  <c r="F6" i="10"/>
  <c r="F20" i="10" s="1"/>
  <c r="B5" i="9" l="1"/>
  <c r="N5" i="9" s="1"/>
  <c r="B5" i="7"/>
  <c r="B5" i="5"/>
  <c r="N5" i="5" s="1"/>
  <c r="C5" i="9"/>
  <c r="O5" i="9" s="1"/>
  <c r="C5" i="7"/>
  <c r="C5" i="5"/>
  <c r="O5" i="5" s="1"/>
  <c r="J34" i="9"/>
  <c r="J34" i="5"/>
  <c r="J34" i="7"/>
  <c r="J2" i="9"/>
  <c r="V2" i="9" s="1"/>
  <c r="J2" i="7"/>
  <c r="V2" i="7" s="1"/>
  <c r="J2" i="5"/>
  <c r="V2" i="5" s="1"/>
  <c r="G36" i="9"/>
  <c r="G36" i="7"/>
  <c r="G36" i="5"/>
  <c r="B37" i="9"/>
  <c r="B37" i="7"/>
  <c r="B37" i="5"/>
  <c r="T36" i="7"/>
  <c r="H5" i="10"/>
  <c r="H19" i="10" s="1"/>
  <c r="F4" i="9"/>
  <c r="R4" i="9" s="1"/>
  <c r="F4" i="7"/>
  <c r="F4" i="5"/>
  <c r="R4" i="5" s="1"/>
  <c r="K37" i="9"/>
  <c r="K37" i="7"/>
  <c r="K37" i="5"/>
  <c r="H23" i="12"/>
  <c r="H23" i="13" s="1"/>
  <c r="T36" i="9"/>
  <c r="D36" i="9"/>
  <c r="D36" i="7"/>
  <c r="D36" i="5"/>
  <c r="K5" i="9"/>
  <c r="W5" i="9" s="1"/>
  <c r="K5" i="7"/>
  <c r="K5" i="5"/>
  <c r="W5" i="5" s="1"/>
  <c r="Q37" i="5"/>
  <c r="E4" i="3"/>
  <c r="E36" i="3"/>
  <c r="J32" i="12"/>
  <c r="J32" i="13" s="1"/>
  <c r="J32" i="10"/>
  <c r="C35" i="12"/>
  <c r="C35" i="13" s="1"/>
  <c r="C35" i="10"/>
  <c r="Q37" i="7"/>
  <c r="E6" i="10"/>
  <c r="E20" i="10" s="1"/>
  <c r="C37" i="9"/>
  <c r="C37" i="7"/>
  <c r="C37" i="5"/>
  <c r="K35" i="12"/>
  <c r="K35" i="13" s="1"/>
  <c r="K35" i="10"/>
  <c r="E6" i="12"/>
  <c r="E6" i="13" s="1"/>
  <c r="Q5" i="7"/>
  <c r="D4" i="9"/>
  <c r="P4" i="9" s="1"/>
  <c r="D4" i="7"/>
  <c r="D4" i="5"/>
  <c r="P4" i="5" s="1"/>
  <c r="I23" i="12"/>
  <c r="I23" i="13" s="1"/>
  <c r="U36" i="9"/>
  <c r="H5" i="12"/>
  <c r="H5" i="13" s="1"/>
  <c r="T4" i="7"/>
  <c r="E24" i="12"/>
  <c r="E24" i="13" s="1"/>
  <c r="Q37" i="9"/>
  <c r="G34" i="12"/>
  <c r="G34" i="13" s="1"/>
  <c r="G34" i="10"/>
  <c r="T36" i="5"/>
  <c r="H3" i="3"/>
  <c r="H35" i="3"/>
  <c r="G4" i="9"/>
  <c r="S4" i="9" s="1"/>
  <c r="G4" i="7"/>
  <c r="G4" i="5"/>
  <c r="S4" i="5" s="1"/>
  <c r="F34" i="12"/>
  <c r="F34" i="13" s="1"/>
  <c r="F34" i="10"/>
  <c r="U36" i="7"/>
  <c r="I5" i="10"/>
  <c r="I19" i="10" s="1"/>
  <c r="U36" i="5"/>
  <c r="I3" i="3"/>
  <c r="I35" i="3"/>
  <c r="I5" i="12"/>
  <c r="I5" i="13" s="1"/>
  <c r="U4" i="7"/>
  <c r="F36" i="9"/>
  <c r="F36" i="7"/>
  <c r="F36" i="5"/>
  <c r="B35" i="12"/>
  <c r="B35" i="13" s="1"/>
  <c r="B35" i="10"/>
  <c r="D34" i="12"/>
  <c r="D34" i="13" s="1"/>
  <c r="D34" i="10"/>
  <c r="V34" i="7" l="1"/>
  <c r="J3" i="10"/>
  <c r="J17" i="10" s="1"/>
  <c r="H35" i="9"/>
  <c r="H35" i="7"/>
  <c r="H35" i="5"/>
  <c r="O37" i="5"/>
  <c r="C4" i="3"/>
  <c r="C36" i="3"/>
  <c r="O37" i="7"/>
  <c r="C6" i="10"/>
  <c r="C20" i="10" s="1"/>
  <c r="S36" i="7"/>
  <c r="G5" i="10"/>
  <c r="G19" i="10" s="1"/>
  <c r="E34" i="12"/>
  <c r="E34" i="13" s="1"/>
  <c r="E34" i="10"/>
  <c r="I3" i="9"/>
  <c r="U3" i="9" s="1"/>
  <c r="I3" i="7"/>
  <c r="I3" i="5"/>
  <c r="U3" i="5" s="1"/>
  <c r="C6" i="12"/>
  <c r="C6" i="13" s="1"/>
  <c r="O5" i="7"/>
  <c r="H3" i="9"/>
  <c r="T3" i="9" s="1"/>
  <c r="H3" i="7"/>
  <c r="H3" i="5"/>
  <c r="T3" i="5" s="1"/>
  <c r="R36" i="7"/>
  <c r="F5" i="10"/>
  <c r="F19" i="10" s="1"/>
  <c r="D5" i="12"/>
  <c r="D5" i="13" s="1"/>
  <c r="P4" i="7"/>
  <c r="H33" i="12"/>
  <c r="H33" i="13" s="1"/>
  <c r="H33" i="10"/>
  <c r="R36" i="5"/>
  <c r="F3" i="3"/>
  <c r="F35" i="3"/>
  <c r="P36" i="5"/>
  <c r="D3" i="3"/>
  <c r="D35" i="3"/>
  <c r="S36" i="5"/>
  <c r="G3" i="3"/>
  <c r="G35" i="3"/>
  <c r="F23" i="12"/>
  <c r="F23" i="13" s="1"/>
  <c r="R36" i="9"/>
  <c r="C24" i="12"/>
  <c r="C24" i="13" s="1"/>
  <c r="O37" i="9"/>
  <c r="I35" i="9"/>
  <c r="I35" i="7"/>
  <c r="I35" i="5"/>
  <c r="W37" i="7"/>
  <c r="K6" i="10"/>
  <c r="K20" i="10" s="1"/>
  <c r="V34" i="5"/>
  <c r="J33" i="3"/>
  <c r="F5" i="12"/>
  <c r="F5" i="13" s="1"/>
  <c r="R4" i="7"/>
  <c r="B24" i="12"/>
  <c r="B24" i="13" s="1"/>
  <c r="N37" i="9"/>
  <c r="D23" i="12"/>
  <c r="D23" i="13" s="1"/>
  <c r="P36" i="9"/>
  <c r="K24" i="12"/>
  <c r="K24" i="13" s="1"/>
  <c r="W37" i="9"/>
  <c r="J21" i="12"/>
  <c r="J21" i="13" s="1"/>
  <c r="V34" i="9"/>
  <c r="E36" i="9"/>
  <c r="E36" i="7"/>
  <c r="E36" i="5"/>
  <c r="N37" i="5"/>
  <c r="B4" i="3"/>
  <c r="B36" i="3"/>
  <c r="B6" i="12"/>
  <c r="B6" i="13" s="1"/>
  <c r="N5" i="7"/>
  <c r="P36" i="7"/>
  <c r="D5" i="10"/>
  <c r="D19" i="10" s="1"/>
  <c r="G23" i="12"/>
  <c r="G23" i="13" s="1"/>
  <c r="S36" i="9"/>
  <c r="W37" i="5"/>
  <c r="K4" i="3"/>
  <c r="K36" i="3"/>
  <c r="I33" i="10"/>
  <c r="I33" i="12"/>
  <c r="I33" i="13" s="1"/>
  <c r="E4" i="9"/>
  <c r="Q4" i="9" s="1"/>
  <c r="E4" i="7"/>
  <c r="E4" i="5"/>
  <c r="Q4" i="5" s="1"/>
  <c r="G5" i="12"/>
  <c r="G5" i="13" s="1"/>
  <c r="S4" i="7"/>
  <c r="K6" i="12"/>
  <c r="K6" i="13" s="1"/>
  <c r="W5" i="7"/>
  <c r="N37" i="7"/>
  <c r="B6" i="10"/>
  <c r="B20" i="10" s="1"/>
  <c r="C34" i="12" l="1"/>
  <c r="C34" i="13" s="1"/>
  <c r="C34" i="10"/>
  <c r="B4" i="9"/>
  <c r="N4" i="9" s="1"/>
  <c r="B4" i="7"/>
  <c r="B4" i="5"/>
  <c r="N4" i="5" s="1"/>
  <c r="K36" i="9"/>
  <c r="K36" i="7"/>
  <c r="K36" i="5"/>
  <c r="I4" i="12"/>
  <c r="I4" i="13" s="1"/>
  <c r="U3" i="7"/>
  <c r="Q36" i="5"/>
  <c r="E3" i="3"/>
  <c r="E35" i="3"/>
  <c r="G33" i="12"/>
  <c r="G33" i="13" s="1"/>
  <c r="G33" i="10"/>
  <c r="J33" i="7"/>
  <c r="J33" i="5"/>
  <c r="J33" i="9"/>
  <c r="F35" i="9"/>
  <c r="F35" i="7"/>
  <c r="F35" i="5"/>
  <c r="I22" i="12"/>
  <c r="I22" i="13" s="1"/>
  <c r="U35" i="9"/>
  <c r="C36" i="9"/>
  <c r="C36" i="7"/>
  <c r="C36" i="5"/>
  <c r="C4" i="9"/>
  <c r="O4" i="9" s="1"/>
  <c r="C4" i="7"/>
  <c r="C4" i="5"/>
  <c r="O4" i="5" s="1"/>
  <c r="G35" i="9"/>
  <c r="G35" i="7"/>
  <c r="G35" i="5"/>
  <c r="H4" i="12"/>
  <c r="H4" i="13" s="1"/>
  <c r="T3" i="7"/>
  <c r="T35" i="5"/>
  <c r="H2" i="3"/>
  <c r="H34" i="3"/>
  <c r="K34" i="12"/>
  <c r="K34" i="13" s="1"/>
  <c r="K34" i="10"/>
  <c r="E5" i="12"/>
  <c r="E5" i="13" s="1"/>
  <c r="Q4" i="7"/>
  <c r="Q36" i="7"/>
  <c r="E5" i="10"/>
  <c r="E19" i="10" s="1"/>
  <c r="K4" i="9"/>
  <c r="W4" i="9" s="1"/>
  <c r="K4" i="7"/>
  <c r="K4" i="5"/>
  <c r="W4" i="5" s="1"/>
  <c r="G3" i="9"/>
  <c r="S3" i="9" s="1"/>
  <c r="G3" i="5"/>
  <c r="S3" i="5" s="1"/>
  <c r="G3" i="7"/>
  <c r="T35" i="7"/>
  <c r="H4" i="10"/>
  <c r="H18" i="10" s="1"/>
  <c r="F33" i="12"/>
  <c r="F33" i="13" s="1"/>
  <c r="F33" i="10"/>
  <c r="D33" i="12"/>
  <c r="D33" i="13" s="1"/>
  <c r="D33" i="10"/>
  <c r="H22" i="12"/>
  <c r="H22" i="13" s="1"/>
  <c r="T35" i="9"/>
  <c r="U35" i="7"/>
  <c r="I4" i="10"/>
  <c r="I18" i="10" s="1"/>
  <c r="J31" i="12"/>
  <c r="J31" i="13" s="1"/>
  <c r="J31" i="10"/>
  <c r="B36" i="9"/>
  <c r="B36" i="7"/>
  <c r="B36" i="5"/>
  <c r="F3" i="9"/>
  <c r="R3" i="9" s="1"/>
  <c r="F3" i="5"/>
  <c r="R3" i="5" s="1"/>
  <c r="F3" i="7"/>
  <c r="U35" i="5"/>
  <c r="I2" i="3"/>
  <c r="I34" i="3"/>
  <c r="E23" i="12"/>
  <c r="E23" i="13" s="1"/>
  <c r="Q36" i="9"/>
  <c r="B34" i="12"/>
  <c r="B34" i="13" s="1"/>
  <c r="B34" i="10"/>
  <c r="D35" i="9"/>
  <c r="D35" i="7"/>
  <c r="D35" i="5"/>
  <c r="D3" i="9"/>
  <c r="P3" i="9" s="1"/>
  <c r="D3" i="7"/>
  <c r="D3" i="5"/>
  <c r="P3" i="5" s="1"/>
  <c r="S35" i="5" l="1"/>
  <c r="G2" i="3"/>
  <c r="G34" i="3"/>
  <c r="N36" i="7"/>
  <c r="B5" i="10"/>
  <c r="B19" i="10" s="1"/>
  <c r="G22" i="12"/>
  <c r="G22" i="13" s="1"/>
  <c r="S35" i="9"/>
  <c r="P35" i="5"/>
  <c r="D2" i="3"/>
  <c r="D34" i="3"/>
  <c r="D22" i="12"/>
  <c r="D22" i="13" s="1"/>
  <c r="P35" i="9"/>
  <c r="D4" i="12"/>
  <c r="D4" i="13" s="1"/>
  <c r="P3" i="7"/>
  <c r="S35" i="7"/>
  <c r="G4" i="10"/>
  <c r="G18" i="10" s="1"/>
  <c r="K23" i="12"/>
  <c r="K23" i="13" s="1"/>
  <c r="W36" i="9"/>
  <c r="E35" i="9"/>
  <c r="E35" i="7"/>
  <c r="E35" i="5"/>
  <c r="C5" i="12"/>
  <c r="C5" i="13" s="1"/>
  <c r="O4" i="7"/>
  <c r="V33" i="7"/>
  <c r="J2" i="10"/>
  <c r="J16" i="10" s="1"/>
  <c r="O36" i="7"/>
  <c r="C5" i="10"/>
  <c r="C19" i="10" s="1"/>
  <c r="C23" i="12"/>
  <c r="C23" i="13" s="1"/>
  <c r="O36" i="9"/>
  <c r="W36" i="7"/>
  <c r="K5" i="10"/>
  <c r="K19" i="10" s="1"/>
  <c r="I34" i="7"/>
  <c r="I34" i="9"/>
  <c r="I34" i="5"/>
  <c r="I2" i="9"/>
  <c r="U2" i="9" s="1"/>
  <c r="I2" i="7"/>
  <c r="U2" i="7" s="1"/>
  <c r="I2" i="5"/>
  <c r="U2" i="5" s="1"/>
  <c r="H2" i="9"/>
  <c r="T2" i="9" s="1"/>
  <c r="H2" i="7"/>
  <c r="T2" i="7" s="1"/>
  <c r="H2" i="5"/>
  <c r="T2" i="5" s="1"/>
  <c r="R35" i="7"/>
  <c r="F4" i="10"/>
  <c r="F18" i="10" s="1"/>
  <c r="B5" i="12"/>
  <c r="B5" i="13" s="1"/>
  <c r="N4" i="7"/>
  <c r="K5" i="12"/>
  <c r="K5" i="13" s="1"/>
  <c r="W4" i="7"/>
  <c r="E33" i="12"/>
  <c r="E33" i="13" s="1"/>
  <c r="E33" i="10"/>
  <c r="F22" i="12"/>
  <c r="F22" i="13" s="1"/>
  <c r="R35" i="9"/>
  <c r="N36" i="5"/>
  <c r="B3" i="3"/>
  <c r="B35" i="3"/>
  <c r="P35" i="7"/>
  <c r="D4" i="10"/>
  <c r="D18" i="10" s="1"/>
  <c r="I32" i="12"/>
  <c r="I32" i="13" s="1"/>
  <c r="I32" i="10"/>
  <c r="O36" i="5"/>
  <c r="C3" i="3"/>
  <c r="C35" i="3"/>
  <c r="W36" i="5"/>
  <c r="K3" i="3"/>
  <c r="K35" i="3"/>
  <c r="H34" i="9"/>
  <c r="H34" i="7"/>
  <c r="H34" i="5"/>
  <c r="R35" i="5"/>
  <c r="F2" i="3"/>
  <c r="F34" i="3"/>
  <c r="H32" i="12"/>
  <c r="H32" i="13" s="1"/>
  <c r="H32" i="10"/>
  <c r="J20" i="12"/>
  <c r="J20" i="13" s="1"/>
  <c r="V33" i="9"/>
  <c r="B23" i="12"/>
  <c r="B23" i="13" s="1"/>
  <c r="N36" i="9"/>
  <c r="E3" i="9"/>
  <c r="Q3" i="9" s="1"/>
  <c r="E3" i="7"/>
  <c r="E3" i="5"/>
  <c r="Q3" i="5" s="1"/>
  <c r="F4" i="12"/>
  <c r="F4" i="13" s="1"/>
  <c r="R3" i="7"/>
  <c r="G4" i="12"/>
  <c r="G4" i="13" s="1"/>
  <c r="S3" i="7"/>
  <c r="V33" i="5"/>
  <c r="J32" i="3"/>
  <c r="G32" i="12" l="1"/>
  <c r="G32" i="13" s="1"/>
  <c r="G32" i="10"/>
  <c r="K3" i="9"/>
  <c r="W3" i="9" s="1"/>
  <c r="K3" i="7"/>
  <c r="K3" i="5"/>
  <c r="W3" i="5" s="1"/>
  <c r="U34" i="7"/>
  <c r="I3" i="10"/>
  <c r="I17" i="10" s="1"/>
  <c r="K35" i="9"/>
  <c r="K35" i="7"/>
  <c r="K35" i="5"/>
  <c r="E4" i="12"/>
  <c r="E4" i="13" s="1"/>
  <c r="Q3" i="7"/>
  <c r="F32" i="12"/>
  <c r="F32" i="13" s="1"/>
  <c r="F32" i="10"/>
  <c r="C33" i="12"/>
  <c r="C33" i="13" s="1"/>
  <c r="C33" i="10"/>
  <c r="D2" i="9"/>
  <c r="P2" i="9" s="1"/>
  <c r="D2" i="7"/>
  <c r="P2" i="7" s="1"/>
  <c r="D2" i="5"/>
  <c r="P2" i="5" s="1"/>
  <c r="C35" i="9"/>
  <c r="C35" i="7"/>
  <c r="C35" i="5"/>
  <c r="C3" i="9"/>
  <c r="O3" i="9" s="1"/>
  <c r="C3" i="7"/>
  <c r="C3" i="5"/>
  <c r="O3" i="5" s="1"/>
  <c r="D34" i="9"/>
  <c r="D34" i="7"/>
  <c r="D34" i="5"/>
  <c r="D32" i="12"/>
  <c r="D32" i="13" s="1"/>
  <c r="D32" i="10"/>
  <c r="J30" i="12"/>
  <c r="J30" i="13" s="1"/>
  <c r="J30" i="10"/>
  <c r="B33" i="12"/>
  <c r="B33" i="13" s="1"/>
  <c r="B33" i="10"/>
  <c r="H21" i="12"/>
  <c r="H21" i="13" s="1"/>
  <c r="T34" i="9"/>
  <c r="B3" i="9"/>
  <c r="N3" i="9" s="1"/>
  <c r="B3" i="5"/>
  <c r="N3" i="5" s="1"/>
  <c r="B3" i="7"/>
  <c r="Q35" i="7"/>
  <c r="E4" i="10"/>
  <c r="E18" i="10" s="1"/>
  <c r="K33" i="12"/>
  <c r="K33" i="13" s="1"/>
  <c r="K33" i="10"/>
  <c r="B35" i="9"/>
  <c r="B35" i="7"/>
  <c r="B35" i="5"/>
  <c r="E22" i="12"/>
  <c r="E22" i="13" s="1"/>
  <c r="Q35" i="9"/>
  <c r="G34" i="9"/>
  <c r="G34" i="7"/>
  <c r="G34" i="5"/>
  <c r="F34" i="9"/>
  <c r="F34" i="7"/>
  <c r="F34" i="5"/>
  <c r="Q35" i="5"/>
  <c r="E2" i="3"/>
  <c r="E34" i="3"/>
  <c r="J32" i="9"/>
  <c r="V32" i="9" s="1"/>
  <c r="J32" i="7"/>
  <c r="J32" i="5"/>
  <c r="V32" i="5" s="1"/>
  <c r="U34" i="5"/>
  <c r="I33" i="3"/>
  <c r="G2" i="9"/>
  <c r="S2" i="9" s="1"/>
  <c r="G2" i="7"/>
  <c r="S2" i="7" s="1"/>
  <c r="G2" i="5"/>
  <c r="S2" i="5" s="1"/>
  <c r="F2" i="9"/>
  <c r="R2" i="9" s="1"/>
  <c r="F2" i="5"/>
  <c r="R2" i="5" s="1"/>
  <c r="F2" i="7"/>
  <c r="R2" i="7" s="1"/>
  <c r="T34" i="5"/>
  <c r="H33" i="3"/>
  <c r="T34" i="7"/>
  <c r="H3" i="10"/>
  <c r="H17" i="10" s="1"/>
  <c r="I21" i="12"/>
  <c r="I21" i="13" s="1"/>
  <c r="U34" i="9"/>
  <c r="P34" i="5" l="1"/>
  <c r="D33" i="3"/>
  <c r="D21" i="12"/>
  <c r="D21" i="13" s="1"/>
  <c r="P34" i="9"/>
  <c r="I33" i="7"/>
  <c r="I33" i="5"/>
  <c r="I33" i="9"/>
  <c r="E34" i="9"/>
  <c r="E34" i="7"/>
  <c r="E34" i="5"/>
  <c r="N35" i="5"/>
  <c r="B2" i="3"/>
  <c r="B34" i="3"/>
  <c r="W35" i="5"/>
  <c r="K2" i="3"/>
  <c r="K34" i="3"/>
  <c r="E2" i="7"/>
  <c r="Q2" i="7" s="1"/>
  <c r="E2" i="5"/>
  <c r="Q2" i="5" s="1"/>
  <c r="E2" i="9"/>
  <c r="Q2" i="9" s="1"/>
  <c r="O35" i="7"/>
  <c r="C4" i="10"/>
  <c r="C18" i="10" s="1"/>
  <c r="R34" i="5"/>
  <c r="F33" i="3"/>
  <c r="O35" i="5"/>
  <c r="C2" i="3"/>
  <c r="C34" i="3"/>
  <c r="R34" i="7"/>
  <c r="F3" i="10"/>
  <c r="F17" i="10" s="1"/>
  <c r="F21" i="12"/>
  <c r="F21" i="13" s="1"/>
  <c r="R34" i="9"/>
  <c r="C22" i="12"/>
  <c r="C22" i="13" s="1"/>
  <c r="O35" i="9"/>
  <c r="K4" i="12"/>
  <c r="K4" i="13" s="1"/>
  <c r="W3" i="7"/>
  <c r="W35" i="7"/>
  <c r="K4" i="10"/>
  <c r="K18" i="10" s="1"/>
  <c r="I31" i="12"/>
  <c r="I31" i="13" s="1"/>
  <c r="I31" i="10"/>
  <c r="H31" i="12"/>
  <c r="H31" i="13" s="1"/>
  <c r="H31" i="10"/>
  <c r="C4" i="12"/>
  <c r="C4" i="13" s="1"/>
  <c r="O3" i="7"/>
  <c r="H33" i="9"/>
  <c r="H33" i="7"/>
  <c r="H33" i="5"/>
  <c r="N35" i="7"/>
  <c r="B4" i="10"/>
  <c r="B18" i="10" s="1"/>
  <c r="B22" i="12"/>
  <c r="B22" i="13" s="1"/>
  <c r="N35" i="9"/>
  <c r="V32" i="7"/>
  <c r="J25" i="10"/>
  <c r="P34" i="7"/>
  <c r="D3" i="10"/>
  <c r="D17" i="10" s="1"/>
  <c r="E32" i="12"/>
  <c r="E32" i="13" s="1"/>
  <c r="E32" i="10"/>
  <c r="K22" i="12"/>
  <c r="K22" i="13" s="1"/>
  <c r="W35" i="9"/>
  <c r="B4" i="12"/>
  <c r="B4" i="13" s="1"/>
  <c r="N3" i="7"/>
  <c r="S34" i="5"/>
  <c r="G33" i="3"/>
  <c r="S34" i="7"/>
  <c r="G3" i="10"/>
  <c r="G17" i="10" s="1"/>
  <c r="G21" i="12"/>
  <c r="G21" i="13" s="1"/>
  <c r="S34" i="9"/>
  <c r="K2" i="9" l="1"/>
  <c r="W2" i="9" s="1"/>
  <c r="K2" i="7"/>
  <c r="W2" i="7" s="1"/>
  <c r="K2" i="5"/>
  <c r="W2" i="5" s="1"/>
  <c r="H20" i="12"/>
  <c r="H20" i="13" s="1"/>
  <c r="T33" i="9"/>
  <c r="G33" i="9"/>
  <c r="G33" i="7"/>
  <c r="G33" i="5"/>
  <c r="B2" i="9"/>
  <c r="N2" i="9" s="1"/>
  <c r="B2" i="7"/>
  <c r="N2" i="7" s="1"/>
  <c r="B2" i="5"/>
  <c r="N2" i="5" s="1"/>
  <c r="Q34" i="5"/>
  <c r="E33" i="3"/>
  <c r="T33" i="5"/>
  <c r="H32" i="3"/>
  <c r="K34" i="9"/>
  <c r="K34" i="5"/>
  <c r="K34" i="7"/>
  <c r="C34" i="7"/>
  <c r="C34" i="9"/>
  <c r="C34" i="5"/>
  <c r="Q34" i="7"/>
  <c r="E3" i="10"/>
  <c r="E17" i="10" s="1"/>
  <c r="U33" i="5"/>
  <c r="I32" i="3"/>
  <c r="G31" i="12"/>
  <c r="G31" i="13" s="1"/>
  <c r="G31" i="10"/>
  <c r="B34" i="7"/>
  <c r="B34" i="9"/>
  <c r="B34" i="5"/>
  <c r="B32" i="12"/>
  <c r="B32" i="13" s="1"/>
  <c r="B32" i="10"/>
  <c r="T33" i="7"/>
  <c r="H2" i="10"/>
  <c r="H16" i="10" s="1"/>
  <c r="E21" i="12"/>
  <c r="E21" i="13" s="1"/>
  <c r="Q34" i="9"/>
  <c r="I20" i="12"/>
  <c r="I20" i="13" s="1"/>
  <c r="U33" i="9"/>
  <c r="C32" i="10"/>
  <c r="C32" i="12"/>
  <c r="C32" i="13" s="1"/>
  <c r="J39" i="12"/>
  <c r="J39" i="13" s="1"/>
  <c r="J39" i="10"/>
  <c r="D33" i="9"/>
  <c r="D33" i="7"/>
  <c r="D33" i="5"/>
  <c r="F31" i="12"/>
  <c r="F31" i="13" s="1"/>
  <c r="F31" i="10"/>
  <c r="C2" i="7"/>
  <c r="O2" i="7" s="1"/>
  <c r="C2" i="9"/>
  <c r="O2" i="9" s="1"/>
  <c r="C2" i="5"/>
  <c r="O2" i="5" s="1"/>
  <c r="F33" i="9"/>
  <c r="F33" i="7"/>
  <c r="F33" i="5"/>
  <c r="D31" i="12"/>
  <c r="D31" i="13" s="1"/>
  <c r="D31" i="10"/>
  <c r="U33" i="7"/>
  <c r="I2" i="10"/>
  <c r="I16" i="10" s="1"/>
  <c r="K32" i="12"/>
  <c r="K32" i="13" s="1"/>
  <c r="K32" i="10"/>
  <c r="P33" i="7" l="1"/>
  <c r="D2" i="10"/>
  <c r="D16" i="10" s="1"/>
  <c r="P33" i="5"/>
  <c r="D32" i="3"/>
  <c r="D20" i="12"/>
  <c r="D20" i="13" s="1"/>
  <c r="P33" i="9"/>
  <c r="I30" i="12"/>
  <c r="I30" i="13" s="1"/>
  <c r="I30" i="10"/>
  <c r="N34" i="5"/>
  <c r="B33" i="3"/>
  <c r="E33" i="9"/>
  <c r="E33" i="7"/>
  <c r="E33" i="5"/>
  <c r="R33" i="5"/>
  <c r="F32" i="3"/>
  <c r="O34" i="7"/>
  <c r="C3" i="10"/>
  <c r="C17" i="10" s="1"/>
  <c r="H32" i="9"/>
  <c r="T32" i="9" s="1"/>
  <c r="H32" i="7"/>
  <c r="H32" i="5"/>
  <c r="T32" i="5" s="1"/>
  <c r="I32" i="9"/>
  <c r="U32" i="9" s="1"/>
  <c r="I32" i="7"/>
  <c r="I32" i="5"/>
  <c r="U32" i="5" s="1"/>
  <c r="E31" i="12"/>
  <c r="E31" i="13" s="1"/>
  <c r="E31" i="10"/>
  <c r="S33" i="5"/>
  <c r="G32" i="3"/>
  <c r="S33" i="7"/>
  <c r="G2" i="10"/>
  <c r="G16" i="10" s="1"/>
  <c r="C21" i="12"/>
  <c r="C21" i="13" s="1"/>
  <c r="O34" i="9"/>
  <c r="H30" i="12"/>
  <c r="H30" i="13" s="1"/>
  <c r="H30" i="10"/>
  <c r="K21" i="12"/>
  <c r="K21" i="13" s="1"/>
  <c r="W34" i="9"/>
  <c r="O34" i="5"/>
  <c r="C33" i="3"/>
  <c r="R33" i="7"/>
  <c r="F2" i="10"/>
  <c r="F16" i="10" s="1"/>
  <c r="W34" i="7"/>
  <c r="K3" i="10"/>
  <c r="K17" i="10" s="1"/>
  <c r="B21" i="12"/>
  <c r="B21" i="13" s="1"/>
  <c r="N34" i="9"/>
  <c r="N34" i="7"/>
  <c r="B3" i="10"/>
  <c r="B17" i="10" s="1"/>
  <c r="G20" i="12"/>
  <c r="G20" i="13" s="1"/>
  <c r="S33" i="9"/>
  <c r="F20" i="12"/>
  <c r="F20" i="13" s="1"/>
  <c r="R33" i="9"/>
  <c r="W34" i="5"/>
  <c r="K33" i="3"/>
  <c r="B31" i="12" l="1"/>
  <c r="B31" i="13" s="1"/>
  <c r="B31" i="10"/>
  <c r="E20" i="12"/>
  <c r="E20" i="13" s="1"/>
  <c r="Q33" i="9"/>
  <c r="B33" i="9"/>
  <c r="B33" i="7"/>
  <c r="B33" i="5"/>
  <c r="C33" i="9"/>
  <c r="C33" i="7"/>
  <c r="C33" i="5"/>
  <c r="G32" i="9"/>
  <c r="S32" i="9" s="1"/>
  <c r="G32" i="7"/>
  <c r="G32" i="5"/>
  <c r="S32" i="5" s="1"/>
  <c r="F30" i="12"/>
  <c r="F30" i="13" s="1"/>
  <c r="F30" i="10"/>
  <c r="U32" i="7"/>
  <c r="I25" i="10"/>
  <c r="D32" i="9"/>
  <c r="P32" i="9" s="1"/>
  <c r="D32" i="7"/>
  <c r="D32" i="5"/>
  <c r="P32" i="5" s="1"/>
  <c r="T32" i="7"/>
  <c r="H25" i="10"/>
  <c r="F32" i="9"/>
  <c r="R32" i="9" s="1"/>
  <c r="F32" i="7"/>
  <c r="F32" i="5"/>
  <c r="R32" i="5" s="1"/>
  <c r="G30" i="10"/>
  <c r="G30" i="12"/>
  <c r="G30" i="13" s="1"/>
  <c r="Q33" i="7"/>
  <c r="E2" i="10"/>
  <c r="E16" i="10" s="1"/>
  <c r="K31" i="12"/>
  <c r="K31" i="13" s="1"/>
  <c r="K31" i="10"/>
  <c r="K33" i="7"/>
  <c r="K33" i="9"/>
  <c r="K33" i="5"/>
  <c r="D30" i="12"/>
  <c r="D30" i="13" s="1"/>
  <c r="D30" i="10"/>
  <c r="Q33" i="5"/>
  <c r="E32" i="3"/>
  <c r="C31" i="12"/>
  <c r="C31" i="13" s="1"/>
  <c r="C31" i="10"/>
  <c r="R32" i="7" l="1"/>
  <c r="F25" i="10"/>
  <c r="O33" i="5"/>
  <c r="C32" i="3"/>
  <c r="W33" i="7"/>
  <c r="K2" i="10"/>
  <c r="K16" i="10" s="1"/>
  <c r="S32" i="7"/>
  <c r="G25" i="10"/>
  <c r="N33" i="5"/>
  <c r="B32" i="3"/>
  <c r="H39" i="12"/>
  <c r="H39" i="13" s="1"/>
  <c r="H39" i="10"/>
  <c r="P32" i="7"/>
  <c r="D25" i="10"/>
  <c r="W33" i="5"/>
  <c r="K32" i="3"/>
  <c r="E30" i="12"/>
  <c r="E30" i="13" s="1"/>
  <c r="E30" i="10"/>
  <c r="O33" i="7"/>
  <c r="C2" i="10"/>
  <c r="C16" i="10" s="1"/>
  <c r="C20" i="12"/>
  <c r="C20" i="13" s="1"/>
  <c r="O33" i="9"/>
  <c r="E32" i="9"/>
  <c r="Q32" i="9" s="1"/>
  <c r="E32" i="7"/>
  <c r="E32" i="5"/>
  <c r="Q32" i="5" s="1"/>
  <c r="N33" i="7"/>
  <c r="B2" i="10"/>
  <c r="B16" i="10" s="1"/>
  <c r="B20" i="12"/>
  <c r="B20" i="13" s="1"/>
  <c r="N33" i="9"/>
  <c r="K20" i="12"/>
  <c r="K20" i="13" s="1"/>
  <c r="W33" i="9"/>
  <c r="I39" i="12"/>
  <c r="I39" i="13" s="1"/>
  <c r="I39" i="10"/>
  <c r="K32" i="9" l="1"/>
  <c r="W32" i="9" s="1"/>
  <c r="K32" i="7"/>
  <c r="K32" i="5"/>
  <c r="W32" i="5" s="1"/>
  <c r="B30" i="12"/>
  <c r="B30" i="13" s="1"/>
  <c r="B30" i="10"/>
  <c r="D39" i="12"/>
  <c r="D39" i="13" s="1"/>
  <c r="D39" i="10"/>
  <c r="Q32" i="7"/>
  <c r="E25" i="10"/>
  <c r="K30" i="12"/>
  <c r="K30" i="13" s="1"/>
  <c r="K30" i="10"/>
  <c r="C30" i="12"/>
  <c r="C30" i="13" s="1"/>
  <c r="C30" i="10"/>
  <c r="F39" i="12"/>
  <c r="F39" i="13" s="1"/>
  <c r="F39" i="10"/>
  <c r="B32" i="9"/>
  <c r="N32" i="9" s="1"/>
  <c r="B32" i="7"/>
  <c r="B32" i="5"/>
  <c r="N32" i="5" s="1"/>
  <c r="G39" i="12"/>
  <c r="G39" i="13" s="1"/>
  <c r="G39" i="10"/>
  <c r="C32" i="9"/>
  <c r="O32" i="9" s="1"/>
  <c r="C32" i="7"/>
  <c r="C32" i="5"/>
  <c r="O32" i="5" s="1"/>
  <c r="E39" i="12" l="1"/>
  <c r="E39" i="13" s="1"/>
  <c r="E39" i="10"/>
  <c r="O32" i="7"/>
  <c r="C25" i="10"/>
  <c r="N32" i="7"/>
  <c r="B25" i="10"/>
  <c r="W32" i="7"/>
  <c r="K25" i="10"/>
  <c r="B39" i="12" l="1"/>
  <c r="B39" i="13" s="1"/>
  <c r="B39" i="10"/>
  <c r="K39" i="12"/>
  <c r="K39" i="13" s="1"/>
  <c r="K39" i="10"/>
  <c r="C39" i="12"/>
  <c r="C39" i="13" s="1"/>
  <c r="C39" i="10"/>
  <c r="B42" i="13" l="1"/>
  <c r="B44" i="13" l="1"/>
  <c r="C42" i="13"/>
  <c r="C44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0" authorId="0" shapeId="0" xr:uid="{00000000-0006-0000-0100-000001000000}">
      <text>
        <r>
          <rPr>
            <sz val="10"/>
            <color rgb="FF000000"/>
            <rFont val="Arial"/>
            <scheme val="minor"/>
          </rPr>
          <t>European Rules with no BJ peak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1" authorId="0" shapeId="0" xr:uid="{00000000-0006-0000-0C00-000001000000}">
      <text>
        <r>
          <rPr>
            <sz val="10"/>
            <color rgb="FF000000"/>
            <rFont val="Arial"/>
            <scheme val="minor"/>
          </rPr>
          <t>My calc has an unknown error resulting in a difference listed here</t>
        </r>
      </text>
    </comment>
  </commentList>
</comments>
</file>

<file path=xl/sharedStrings.xml><?xml version="1.0" encoding="utf-8"?>
<sst xmlns="http://schemas.openxmlformats.org/spreadsheetml/2006/main" count="480" uniqueCount="33">
  <si>
    <t>https://wizardofodds.com/video/blackjack-basic-strategy/</t>
  </si>
  <si>
    <t>Hard</t>
  </si>
  <si>
    <t>Ace</t>
  </si>
  <si>
    <t>H</t>
  </si>
  <si>
    <t>D</t>
  </si>
  <si>
    <t>S</t>
  </si>
  <si>
    <t>Soft</t>
  </si>
  <si>
    <t>Pair</t>
  </si>
  <si>
    <t>Y</t>
  </si>
  <si>
    <t>N</t>
  </si>
  <si>
    <t>Outcome</t>
  </si>
  <si>
    <t>Bust</t>
  </si>
  <si>
    <t>TOTAL</t>
  </si>
  <si>
    <t>Best</t>
  </si>
  <si>
    <t>Strategy</t>
  </si>
  <si>
    <t>House Edge</t>
  </si>
  <si>
    <t>https://www.youtube.com/watch?v=wJsGnXgrGvg</t>
  </si>
  <si>
    <t>Hard Total %</t>
  </si>
  <si>
    <t>Soft Total %</t>
  </si>
  <si>
    <t>Pairs</t>
  </si>
  <si>
    <t>Pair %</t>
  </si>
  <si>
    <t>Dealer Blackjack</t>
  </si>
  <si>
    <t>Card 2</t>
  </si>
  <si>
    <t>All Total</t>
  </si>
  <si>
    <t>Card 1</t>
  </si>
  <si>
    <t>Probability of each Total</t>
  </si>
  <si>
    <t>Probablility</t>
  </si>
  <si>
    <t>Error</t>
  </si>
  <si>
    <t>No Dealer BJ</t>
  </si>
  <si>
    <t>Winning Dealer BJ</t>
  </si>
  <si>
    <t>Dealer BJ</t>
  </si>
  <si>
    <t>8 decks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</si>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</sst>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0" xfId="0" applyFont="1"/>
    <xf numFmtId="0" fontId="1" fillId="6" borderId="0" xfId="0" applyFont="1" applyFill="1"/>
    <xf numFmtId="0" fontId="1" fillId="5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164" fontId="1" fillId="0" borderId="0" xfId="0" applyNumberFormat="1" applyFont="1"/>
    <xf numFmtId="0" fontId="0" fillId="0" borderId="0" xfId="0"/>
    <xf numFmtId="0" fontId="3" fillId="2" borderId="0" xfId="1" applyFill="1" applyAlignment="1">
      <alignment horizontal="center"/>
    </xf>
  </cellXfs>
  <cellStyles count="2">
    <cellStyle name="Hyperlink" xfId="1" builtinId="8"/>
    <cellStyle name="Normal" xfId="0" builtinId="0"/>
  </cellStyles>
  <dxfs count="2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Strategy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Strategy-style 2" pivot="0" count="3" xr9:uid="{00000000-0011-0000-FFFF-FFFF01000000}"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2:A32">
  <tableColumns count="1">
    <tableColumn id="1" xr3:uid="{00000000-0010-0000-0000-000001000000}" name="Soft"/>
  </tableColumns>
  <tableStyleInfo name="Strategy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4:A44">
  <tableColumns count="1">
    <tableColumn id="1" xr3:uid="{00000000-0010-0000-0100-000001000000}" name="Pair"/>
  </tableColumns>
  <tableStyleInfo name="Strateg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wizardofodds.com/video/blackjack-basic-strategy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wJsGnXgrGv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wJsGnXgrGvg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www.youtube.com/watch?v=wJsGnXgrG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4"/>
  <sheetViews>
    <sheetView tabSelected="1" workbookViewId="0">
      <selection activeCell="M17" sqref="M17"/>
    </sheetView>
  </sheetViews>
  <sheetFormatPr defaultColWidth="12.6328125" defaultRowHeight="15.75" customHeight="1" x14ac:dyDescent="0.25"/>
  <cols>
    <col min="1" max="11" width="4.26953125" customWidth="1"/>
  </cols>
  <sheetData>
    <row r="1" spans="1:12" ht="12.5" x14ac:dyDescent="0.2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t="s">
        <v>31</v>
      </c>
    </row>
    <row r="2" spans="1:12" ht="12.5" x14ac:dyDescent="0.25">
      <c r="A2" s="1" t="s">
        <v>1</v>
      </c>
      <c r="B2" s="2">
        <v>2</v>
      </c>
      <c r="C2" s="3">
        <v>3</v>
      </c>
      <c r="D2" s="2">
        <v>4</v>
      </c>
      <c r="E2" s="3">
        <v>5</v>
      </c>
      <c r="F2" s="2">
        <v>6</v>
      </c>
      <c r="G2" s="3">
        <v>7</v>
      </c>
      <c r="H2" s="2">
        <v>8</v>
      </c>
      <c r="I2" s="3">
        <v>9</v>
      </c>
      <c r="J2" s="2">
        <v>10</v>
      </c>
      <c r="K2" s="3" t="s">
        <v>2</v>
      </c>
    </row>
    <row r="3" spans="1:12" ht="12.5" x14ac:dyDescent="0.25">
      <c r="A3" s="3">
        <v>4</v>
      </c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</row>
    <row r="4" spans="1:12" ht="12.5" x14ac:dyDescent="0.25">
      <c r="A4" s="1">
        <v>5</v>
      </c>
      <c r="B4" s="2" t="s">
        <v>3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</row>
    <row r="5" spans="1:12" ht="12.5" x14ac:dyDescent="0.25">
      <c r="A5" s="3">
        <v>6</v>
      </c>
      <c r="B5" s="2" t="s">
        <v>3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</row>
    <row r="6" spans="1:12" ht="12.5" x14ac:dyDescent="0.25">
      <c r="A6" s="1">
        <v>7</v>
      </c>
      <c r="B6" s="2" t="s">
        <v>3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</row>
    <row r="7" spans="1:12" ht="12.5" x14ac:dyDescent="0.25">
      <c r="A7" s="3">
        <v>8</v>
      </c>
      <c r="B7" s="2" t="s">
        <v>3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2" ht="12.5" x14ac:dyDescent="0.25">
      <c r="A8" s="1">
        <v>9</v>
      </c>
      <c r="B8" s="2" t="s">
        <v>3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</row>
    <row r="9" spans="1:12" ht="12.5" x14ac:dyDescent="0.25">
      <c r="A9" s="3">
        <v>10</v>
      </c>
      <c r="B9" s="2" t="s">
        <v>4</v>
      </c>
      <c r="C9" s="2" t="s">
        <v>4</v>
      </c>
      <c r="D9" s="2" t="s">
        <v>4</v>
      </c>
      <c r="E9" s="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3</v>
      </c>
      <c r="K9" s="2" t="s">
        <v>3</v>
      </c>
    </row>
    <row r="10" spans="1:12" ht="12.5" x14ac:dyDescent="0.25">
      <c r="A10" s="1">
        <v>11</v>
      </c>
      <c r="B10" s="2" t="s">
        <v>4</v>
      </c>
      <c r="C10" s="2" t="s">
        <v>4</v>
      </c>
      <c r="D10" s="2" t="s">
        <v>4</v>
      </c>
      <c r="E10" s="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2" t="s">
        <v>4</v>
      </c>
    </row>
    <row r="11" spans="1:12" ht="12.5" x14ac:dyDescent="0.25">
      <c r="A11" s="3">
        <v>12</v>
      </c>
      <c r="B11" s="2" t="s">
        <v>3</v>
      </c>
      <c r="C11" s="2" t="s">
        <v>3</v>
      </c>
      <c r="D11" s="2" t="s">
        <v>5</v>
      </c>
      <c r="E11" s="2" t="s">
        <v>5</v>
      </c>
      <c r="F11" s="2" t="s">
        <v>5</v>
      </c>
      <c r="G11" s="2" t="s">
        <v>3</v>
      </c>
      <c r="H11" s="2" t="s">
        <v>3</v>
      </c>
      <c r="I11" s="2" t="s">
        <v>3</v>
      </c>
      <c r="J11" s="2" t="s">
        <v>3</v>
      </c>
      <c r="K11" s="2" t="s">
        <v>3</v>
      </c>
    </row>
    <row r="12" spans="1:12" ht="12.5" x14ac:dyDescent="0.25">
      <c r="A12" s="1">
        <v>13</v>
      </c>
      <c r="B12" s="2" t="s">
        <v>5</v>
      </c>
      <c r="C12" s="2" t="s">
        <v>5</v>
      </c>
      <c r="D12" s="2" t="s">
        <v>5</v>
      </c>
      <c r="E12" s="2" t="s">
        <v>5</v>
      </c>
      <c r="F12" s="2" t="s">
        <v>5</v>
      </c>
      <c r="G12" s="2" t="s">
        <v>3</v>
      </c>
      <c r="H12" s="2" t="s">
        <v>3</v>
      </c>
      <c r="I12" s="2" t="s">
        <v>3</v>
      </c>
      <c r="J12" s="2" t="s">
        <v>3</v>
      </c>
      <c r="K12" s="2" t="s">
        <v>3</v>
      </c>
    </row>
    <row r="13" spans="1:12" ht="12.5" x14ac:dyDescent="0.25">
      <c r="A13" s="3">
        <v>14</v>
      </c>
      <c r="B13" s="2" t="s">
        <v>5</v>
      </c>
      <c r="C13" s="2" t="s">
        <v>5</v>
      </c>
      <c r="D13" s="2" t="s">
        <v>5</v>
      </c>
      <c r="E13" s="2" t="s">
        <v>5</v>
      </c>
      <c r="F13" s="2" t="s">
        <v>5</v>
      </c>
      <c r="G13" s="2" t="s">
        <v>3</v>
      </c>
      <c r="H13" s="2" t="s">
        <v>3</v>
      </c>
      <c r="I13" s="2" t="s">
        <v>3</v>
      </c>
      <c r="J13" s="2" t="s">
        <v>3</v>
      </c>
      <c r="K13" s="2" t="s">
        <v>3</v>
      </c>
    </row>
    <row r="14" spans="1:12" ht="12.5" x14ac:dyDescent="0.25">
      <c r="A14" s="1">
        <v>15</v>
      </c>
      <c r="B14" s="2" t="s">
        <v>5</v>
      </c>
      <c r="C14" s="2" t="s">
        <v>5</v>
      </c>
      <c r="D14" s="2" t="s">
        <v>5</v>
      </c>
      <c r="E14" s="2" t="s">
        <v>5</v>
      </c>
      <c r="F14" s="2" t="s">
        <v>5</v>
      </c>
      <c r="G14" s="2" t="s">
        <v>3</v>
      </c>
      <c r="H14" s="2" t="s">
        <v>3</v>
      </c>
      <c r="I14" s="2" t="s">
        <v>3</v>
      </c>
      <c r="J14" s="2" t="s">
        <v>3</v>
      </c>
      <c r="K14" s="2" t="s">
        <v>3</v>
      </c>
    </row>
    <row r="15" spans="1:12" ht="12.5" x14ac:dyDescent="0.25">
      <c r="A15" s="3">
        <v>16</v>
      </c>
      <c r="B15" s="2" t="s">
        <v>5</v>
      </c>
      <c r="C15" s="2" t="s">
        <v>5</v>
      </c>
      <c r="D15" s="2" t="s">
        <v>5</v>
      </c>
      <c r="E15" s="2" t="s">
        <v>5</v>
      </c>
      <c r="F15" s="2" t="s">
        <v>5</v>
      </c>
      <c r="G15" s="2" t="s">
        <v>3</v>
      </c>
      <c r="H15" s="2" t="s">
        <v>3</v>
      </c>
      <c r="I15" s="2" t="s">
        <v>3</v>
      </c>
      <c r="J15" s="2" t="s">
        <v>3</v>
      </c>
      <c r="K15" s="2" t="s">
        <v>3</v>
      </c>
    </row>
    <row r="16" spans="1:12" ht="12.5" x14ac:dyDescent="0.25">
      <c r="A16" s="1">
        <v>17</v>
      </c>
      <c r="B16" s="2" t="s">
        <v>5</v>
      </c>
      <c r="C16" s="2" t="s">
        <v>5</v>
      </c>
      <c r="D16" s="2" t="s">
        <v>5</v>
      </c>
      <c r="E16" s="2" t="s">
        <v>5</v>
      </c>
      <c r="F16" s="2" t="s">
        <v>5</v>
      </c>
      <c r="G16" s="2" t="s">
        <v>5</v>
      </c>
      <c r="H16" s="2" t="s">
        <v>5</v>
      </c>
      <c r="I16" s="2" t="s">
        <v>5</v>
      </c>
      <c r="J16" s="2" t="s">
        <v>5</v>
      </c>
      <c r="K16" s="2" t="s">
        <v>5</v>
      </c>
    </row>
    <row r="17" spans="1:11" ht="12.5" x14ac:dyDescent="0.25">
      <c r="A17" s="3">
        <v>18</v>
      </c>
      <c r="B17" s="2" t="s">
        <v>5</v>
      </c>
      <c r="C17" s="2" t="s">
        <v>5</v>
      </c>
      <c r="D17" s="2" t="s">
        <v>5</v>
      </c>
      <c r="E17" s="2" t="s">
        <v>5</v>
      </c>
      <c r="F17" s="2" t="s">
        <v>5</v>
      </c>
      <c r="G17" s="2" t="s">
        <v>5</v>
      </c>
      <c r="H17" s="2" t="s">
        <v>5</v>
      </c>
      <c r="I17" s="2" t="s">
        <v>5</v>
      </c>
      <c r="J17" s="2" t="s">
        <v>5</v>
      </c>
      <c r="K17" s="2" t="s">
        <v>5</v>
      </c>
    </row>
    <row r="18" spans="1:11" ht="12.5" x14ac:dyDescent="0.25">
      <c r="A18" s="1">
        <v>19</v>
      </c>
      <c r="B18" s="2" t="s">
        <v>5</v>
      </c>
      <c r="C18" s="2" t="s">
        <v>5</v>
      </c>
      <c r="D18" s="2" t="s">
        <v>5</v>
      </c>
      <c r="E18" s="2" t="s">
        <v>5</v>
      </c>
      <c r="F18" s="2" t="s">
        <v>5</v>
      </c>
      <c r="G18" s="2" t="s">
        <v>5</v>
      </c>
      <c r="H18" s="2" t="s">
        <v>5</v>
      </c>
      <c r="I18" s="2" t="s">
        <v>5</v>
      </c>
      <c r="J18" s="2" t="s">
        <v>5</v>
      </c>
      <c r="K18" s="2" t="s">
        <v>5</v>
      </c>
    </row>
    <row r="19" spans="1:11" ht="12.5" x14ac:dyDescent="0.25">
      <c r="A19" s="3">
        <v>20</v>
      </c>
      <c r="B19" s="2" t="s">
        <v>5</v>
      </c>
      <c r="C19" s="2" t="s">
        <v>5</v>
      </c>
      <c r="D19" s="2" t="s">
        <v>5</v>
      </c>
      <c r="E19" s="2" t="s">
        <v>5</v>
      </c>
      <c r="F19" s="2" t="s">
        <v>5</v>
      </c>
      <c r="G19" s="2" t="s">
        <v>5</v>
      </c>
      <c r="H19" s="2" t="s">
        <v>5</v>
      </c>
      <c r="I19" s="2" t="s">
        <v>5</v>
      </c>
      <c r="J19" s="2" t="s">
        <v>5</v>
      </c>
      <c r="K19" s="2" t="s">
        <v>5</v>
      </c>
    </row>
    <row r="20" spans="1:11" ht="12.5" x14ac:dyDescent="0.25">
      <c r="A20" s="1">
        <v>21</v>
      </c>
      <c r="B20" s="2" t="s">
        <v>5</v>
      </c>
      <c r="C20" s="2" t="s">
        <v>5</v>
      </c>
      <c r="D20" s="2" t="s">
        <v>5</v>
      </c>
      <c r="E20" s="2" t="s">
        <v>5</v>
      </c>
      <c r="F20" s="2" t="s">
        <v>5</v>
      </c>
      <c r="G20" s="2" t="s">
        <v>5</v>
      </c>
      <c r="H20" s="2" t="s">
        <v>5</v>
      </c>
      <c r="I20" s="2" t="s">
        <v>5</v>
      </c>
      <c r="J20" s="2" t="s">
        <v>5</v>
      </c>
      <c r="K20" s="2" t="s">
        <v>5</v>
      </c>
    </row>
    <row r="21" spans="1:11" ht="5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12.5" x14ac:dyDescent="0.25">
      <c r="A22" s="2" t="s">
        <v>6</v>
      </c>
      <c r="B22" s="2">
        <v>2</v>
      </c>
      <c r="C22" s="3">
        <v>3</v>
      </c>
      <c r="D22" s="2">
        <v>4</v>
      </c>
      <c r="E22" s="3">
        <v>5</v>
      </c>
      <c r="F22" s="2">
        <v>6</v>
      </c>
      <c r="G22" s="3">
        <v>7</v>
      </c>
      <c r="H22" s="2">
        <v>8</v>
      </c>
      <c r="I22" s="3">
        <v>9</v>
      </c>
      <c r="J22" s="2">
        <v>10</v>
      </c>
      <c r="K22" s="3" t="s">
        <v>2</v>
      </c>
    </row>
    <row r="23" spans="1:11" ht="12.5" x14ac:dyDescent="0.25">
      <c r="A23" s="2">
        <v>12</v>
      </c>
      <c r="B23" s="2" t="s">
        <v>3</v>
      </c>
      <c r="C23" s="2" t="s">
        <v>3</v>
      </c>
      <c r="D23" s="2" t="s">
        <v>3</v>
      </c>
      <c r="E23" s="2" t="s">
        <v>4</v>
      </c>
      <c r="F23" s="2" t="s">
        <v>4</v>
      </c>
      <c r="G23" s="2" t="s">
        <v>3</v>
      </c>
      <c r="H23" s="2" t="s">
        <v>3</v>
      </c>
      <c r="I23" s="2" t="s">
        <v>3</v>
      </c>
      <c r="J23" s="2" t="s">
        <v>3</v>
      </c>
      <c r="K23" s="2" t="s">
        <v>3</v>
      </c>
    </row>
    <row r="24" spans="1:11" ht="12.5" x14ac:dyDescent="0.25">
      <c r="A24" s="2">
        <v>13</v>
      </c>
      <c r="B24" s="2" t="s">
        <v>3</v>
      </c>
      <c r="C24" s="2" t="s">
        <v>3</v>
      </c>
      <c r="D24" s="2" t="s">
        <v>3</v>
      </c>
      <c r="E24" s="2" t="s">
        <v>4</v>
      </c>
      <c r="F24" s="2" t="s">
        <v>4</v>
      </c>
      <c r="G24" s="2" t="s">
        <v>3</v>
      </c>
      <c r="H24" s="2" t="s">
        <v>3</v>
      </c>
      <c r="I24" s="2" t="s">
        <v>3</v>
      </c>
      <c r="J24" s="2" t="s">
        <v>3</v>
      </c>
      <c r="K24" s="2" t="s">
        <v>3</v>
      </c>
    </row>
    <row r="25" spans="1:11" ht="12.5" x14ac:dyDescent="0.25">
      <c r="A25" s="2">
        <v>14</v>
      </c>
      <c r="B25" s="2" t="s">
        <v>3</v>
      </c>
      <c r="C25" s="2" t="s">
        <v>3</v>
      </c>
      <c r="D25" s="2" t="s">
        <v>3</v>
      </c>
      <c r="E25" s="2" t="s">
        <v>4</v>
      </c>
      <c r="F25" s="2" t="s">
        <v>4</v>
      </c>
      <c r="G25" s="2" t="s">
        <v>3</v>
      </c>
      <c r="H25" s="2" t="s">
        <v>3</v>
      </c>
      <c r="I25" s="2" t="s">
        <v>3</v>
      </c>
      <c r="J25" s="2" t="s">
        <v>3</v>
      </c>
      <c r="K25" s="2" t="s">
        <v>3</v>
      </c>
    </row>
    <row r="26" spans="1:11" ht="12.5" x14ac:dyDescent="0.25">
      <c r="A26" s="2">
        <v>15</v>
      </c>
      <c r="B26" s="2" t="s">
        <v>3</v>
      </c>
      <c r="C26" s="2" t="s">
        <v>3</v>
      </c>
      <c r="D26" s="2" t="s">
        <v>3</v>
      </c>
      <c r="E26" s="2" t="s">
        <v>4</v>
      </c>
      <c r="F26" s="2" t="s">
        <v>4</v>
      </c>
      <c r="G26" s="2" t="s">
        <v>3</v>
      </c>
      <c r="H26" s="2" t="s">
        <v>3</v>
      </c>
      <c r="I26" s="2" t="s">
        <v>3</v>
      </c>
      <c r="J26" s="2" t="s">
        <v>3</v>
      </c>
      <c r="K26" s="2" t="s">
        <v>3</v>
      </c>
    </row>
    <row r="27" spans="1:11" ht="12.5" x14ac:dyDescent="0.25">
      <c r="A27" s="2">
        <v>16</v>
      </c>
      <c r="B27" s="2" t="s">
        <v>3</v>
      </c>
      <c r="C27" s="2" t="s">
        <v>3</v>
      </c>
      <c r="D27" s="2" t="s">
        <v>4</v>
      </c>
      <c r="E27" s="2" t="s">
        <v>4</v>
      </c>
      <c r="F27" s="2" t="s">
        <v>4</v>
      </c>
      <c r="G27" s="2" t="s">
        <v>3</v>
      </c>
      <c r="H27" s="2" t="s">
        <v>3</v>
      </c>
      <c r="I27" s="2" t="s">
        <v>3</v>
      </c>
      <c r="J27" s="2" t="s">
        <v>3</v>
      </c>
      <c r="K27" s="2" t="s">
        <v>3</v>
      </c>
    </row>
    <row r="28" spans="1:11" ht="12.5" x14ac:dyDescent="0.25">
      <c r="A28" s="2">
        <v>17</v>
      </c>
      <c r="B28" s="2" t="s">
        <v>4</v>
      </c>
      <c r="C28" s="2" t="s">
        <v>4</v>
      </c>
      <c r="D28" s="2" t="s">
        <v>4</v>
      </c>
      <c r="E28" s="2" t="s">
        <v>4</v>
      </c>
      <c r="F28" s="2" t="s">
        <v>4</v>
      </c>
      <c r="G28" s="2" t="s">
        <v>3</v>
      </c>
      <c r="H28" s="2" t="s">
        <v>3</v>
      </c>
      <c r="I28" s="2" t="s">
        <v>3</v>
      </c>
      <c r="J28" s="2" t="s">
        <v>3</v>
      </c>
      <c r="K28" s="2" t="s">
        <v>3</v>
      </c>
    </row>
    <row r="29" spans="1:11" ht="12.5" x14ac:dyDescent="0.25">
      <c r="A29" s="2">
        <v>18</v>
      </c>
      <c r="B29" s="2" t="s">
        <v>5</v>
      </c>
      <c r="C29" s="2" t="s">
        <v>32</v>
      </c>
      <c r="D29" s="2" t="s">
        <v>32</v>
      </c>
      <c r="E29" s="2" t="s">
        <v>32</v>
      </c>
      <c r="F29" s="2" t="s">
        <v>32</v>
      </c>
      <c r="G29" s="2" t="s">
        <v>5</v>
      </c>
      <c r="H29" s="2" t="s">
        <v>5</v>
      </c>
      <c r="I29" s="2" t="s">
        <v>3</v>
      </c>
      <c r="J29" s="2" t="s">
        <v>3</v>
      </c>
      <c r="K29" s="2" t="s">
        <v>3</v>
      </c>
    </row>
    <row r="30" spans="1:11" ht="12.5" x14ac:dyDescent="0.25">
      <c r="A30" s="2">
        <v>19</v>
      </c>
      <c r="B30" s="2" t="s">
        <v>5</v>
      </c>
      <c r="C30" s="2" t="s">
        <v>5</v>
      </c>
      <c r="D30" s="2" t="s">
        <v>5</v>
      </c>
      <c r="E30" s="2" t="s">
        <v>5</v>
      </c>
      <c r="F30" s="2" t="s">
        <v>32</v>
      </c>
      <c r="G30" s="2" t="s">
        <v>5</v>
      </c>
      <c r="H30" s="2" t="s">
        <v>5</v>
      </c>
      <c r="I30" s="2" t="s">
        <v>5</v>
      </c>
      <c r="J30" s="2" t="s">
        <v>5</v>
      </c>
      <c r="K30" s="2" t="s">
        <v>5</v>
      </c>
    </row>
    <row r="31" spans="1:11" ht="12.5" x14ac:dyDescent="0.25">
      <c r="A31" s="2">
        <v>20</v>
      </c>
      <c r="B31" s="2" t="s">
        <v>5</v>
      </c>
      <c r="C31" s="2" t="s">
        <v>5</v>
      </c>
      <c r="D31" s="2" t="s">
        <v>5</v>
      </c>
      <c r="E31" s="2" t="s">
        <v>5</v>
      </c>
      <c r="F31" s="2" t="s">
        <v>5</v>
      </c>
      <c r="G31" s="2" t="s">
        <v>5</v>
      </c>
      <c r="H31" s="2" t="s">
        <v>5</v>
      </c>
      <c r="I31" s="2" t="s">
        <v>5</v>
      </c>
      <c r="J31" s="2" t="s">
        <v>5</v>
      </c>
      <c r="K31" s="2" t="s">
        <v>5</v>
      </c>
    </row>
    <row r="32" spans="1:11" ht="12.5" x14ac:dyDescent="0.25">
      <c r="A32" s="2">
        <v>21</v>
      </c>
      <c r="B32" s="2" t="s">
        <v>5</v>
      </c>
      <c r="C32" s="2" t="s">
        <v>5</v>
      </c>
      <c r="D32" s="2" t="s">
        <v>5</v>
      </c>
      <c r="E32" s="2" t="s">
        <v>5</v>
      </c>
      <c r="F32" s="2" t="s">
        <v>5</v>
      </c>
      <c r="G32" s="2" t="s">
        <v>5</v>
      </c>
      <c r="H32" s="2" t="s">
        <v>5</v>
      </c>
      <c r="I32" s="2" t="s">
        <v>5</v>
      </c>
      <c r="J32" s="2" t="s">
        <v>5</v>
      </c>
      <c r="K32" s="2" t="s">
        <v>5</v>
      </c>
    </row>
    <row r="33" spans="1:11" ht="6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ht="12.5" x14ac:dyDescent="0.25">
      <c r="A34" s="2" t="s">
        <v>7</v>
      </c>
      <c r="B34" s="2">
        <v>2</v>
      </c>
      <c r="C34" s="3">
        <v>3</v>
      </c>
      <c r="D34" s="2">
        <v>4</v>
      </c>
      <c r="E34" s="3">
        <v>5</v>
      </c>
      <c r="F34" s="2">
        <v>6</v>
      </c>
      <c r="G34" s="3">
        <v>7</v>
      </c>
      <c r="H34" s="2">
        <v>8</v>
      </c>
      <c r="I34" s="3">
        <v>9</v>
      </c>
      <c r="J34" s="2">
        <v>10</v>
      </c>
      <c r="K34" s="3" t="s">
        <v>2</v>
      </c>
    </row>
    <row r="35" spans="1:11" ht="12.5" x14ac:dyDescent="0.25">
      <c r="A35" s="2">
        <v>2</v>
      </c>
      <c r="B35" s="2" t="s">
        <v>8</v>
      </c>
      <c r="C35" s="2" t="s">
        <v>8</v>
      </c>
      <c r="D35" s="2" t="s">
        <v>8</v>
      </c>
      <c r="E35" s="2" t="s">
        <v>8</v>
      </c>
      <c r="F35" s="2" t="s">
        <v>8</v>
      </c>
      <c r="G35" s="2" t="s">
        <v>8</v>
      </c>
      <c r="H35" s="2" t="s">
        <v>9</v>
      </c>
      <c r="I35" s="2" t="s">
        <v>9</v>
      </c>
      <c r="J35" s="2" t="s">
        <v>9</v>
      </c>
      <c r="K35" s="2" t="s">
        <v>9</v>
      </c>
    </row>
    <row r="36" spans="1:11" ht="12.5" x14ac:dyDescent="0.25">
      <c r="A36" s="2">
        <v>3</v>
      </c>
      <c r="B36" s="2" t="s">
        <v>8</v>
      </c>
      <c r="C36" s="2" t="s">
        <v>8</v>
      </c>
      <c r="D36" s="2" t="s">
        <v>8</v>
      </c>
      <c r="E36" s="2" t="s">
        <v>8</v>
      </c>
      <c r="F36" s="2" t="s">
        <v>8</v>
      </c>
      <c r="G36" s="2" t="s">
        <v>8</v>
      </c>
      <c r="H36" s="2" t="s">
        <v>9</v>
      </c>
      <c r="I36" s="2" t="s">
        <v>9</v>
      </c>
      <c r="J36" s="2" t="s">
        <v>9</v>
      </c>
      <c r="K36" s="2" t="s">
        <v>9</v>
      </c>
    </row>
    <row r="37" spans="1:11" ht="12.5" x14ac:dyDescent="0.25">
      <c r="A37" s="2">
        <v>4</v>
      </c>
      <c r="B37" s="2" t="s">
        <v>9</v>
      </c>
      <c r="C37" s="2" t="s">
        <v>9</v>
      </c>
      <c r="D37" s="2" t="s">
        <v>9</v>
      </c>
      <c r="E37" s="2" t="s">
        <v>8</v>
      </c>
      <c r="F37" s="2" t="s">
        <v>8</v>
      </c>
      <c r="G37" s="2" t="s">
        <v>9</v>
      </c>
      <c r="H37" s="2" t="s">
        <v>9</v>
      </c>
      <c r="I37" s="2" t="s">
        <v>9</v>
      </c>
      <c r="J37" s="2" t="s">
        <v>9</v>
      </c>
      <c r="K37" s="2" t="s">
        <v>9</v>
      </c>
    </row>
    <row r="38" spans="1:11" ht="12.5" x14ac:dyDescent="0.25">
      <c r="A38" s="2">
        <v>5</v>
      </c>
      <c r="B38" s="2" t="s">
        <v>9</v>
      </c>
      <c r="C38" s="2" t="s">
        <v>9</v>
      </c>
      <c r="D38" s="2" t="s">
        <v>9</v>
      </c>
      <c r="E38" s="2" t="s">
        <v>9</v>
      </c>
      <c r="F38" s="2" t="s">
        <v>9</v>
      </c>
      <c r="G38" s="2" t="s">
        <v>9</v>
      </c>
      <c r="H38" s="2" t="s">
        <v>9</v>
      </c>
      <c r="I38" s="2" t="s">
        <v>9</v>
      </c>
      <c r="J38" s="2" t="s">
        <v>9</v>
      </c>
      <c r="K38" s="2" t="s">
        <v>9</v>
      </c>
    </row>
    <row r="39" spans="1:11" ht="12.5" x14ac:dyDescent="0.25">
      <c r="A39" s="2">
        <v>6</v>
      </c>
      <c r="B39" s="2" t="s">
        <v>8</v>
      </c>
      <c r="C39" s="2" t="s">
        <v>8</v>
      </c>
      <c r="D39" s="2" t="s">
        <v>8</v>
      </c>
      <c r="E39" s="2" t="s">
        <v>8</v>
      </c>
      <c r="F39" s="2" t="s">
        <v>8</v>
      </c>
      <c r="G39" s="2" t="s">
        <v>9</v>
      </c>
      <c r="H39" s="2" t="s">
        <v>9</v>
      </c>
      <c r="I39" s="2" t="s">
        <v>9</v>
      </c>
      <c r="J39" s="2" t="s">
        <v>9</v>
      </c>
      <c r="K39" s="2" t="s">
        <v>9</v>
      </c>
    </row>
    <row r="40" spans="1:11" ht="12.5" x14ac:dyDescent="0.25">
      <c r="A40" s="2">
        <v>7</v>
      </c>
      <c r="B40" s="2" t="s">
        <v>8</v>
      </c>
      <c r="C40" s="2" t="s">
        <v>8</v>
      </c>
      <c r="D40" s="2" t="s">
        <v>8</v>
      </c>
      <c r="E40" s="2" t="s">
        <v>8</v>
      </c>
      <c r="F40" s="2" t="s">
        <v>8</v>
      </c>
      <c r="G40" s="2" t="s">
        <v>8</v>
      </c>
      <c r="H40" s="2" t="s">
        <v>9</v>
      </c>
      <c r="I40" s="2" t="s">
        <v>9</v>
      </c>
      <c r="J40" s="2" t="s">
        <v>9</v>
      </c>
      <c r="K40" s="2" t="s">
        <v>9</v>
      </c>
    </row>
    <row r="41" spans="1:11" ht="12.5" x14ac:dyDescent="0.25">
      <c r="A41" s="2">
        <v>8</v>
      </c>
      <c r="B41" s="2" t="s">
        <v>8</v>
      </c>
      <c r="C41" s="2" t="s">
        <v>8</v>
      </c>
      <c r="D41" s="2" t="s">
        <v>8</v>
      </c>
      <c r="E41" s="2" t="s">
        <v>8</v>
      </c>
      <c r="F41" s="2" t="s">
        <v>8</v>
      </c>
      <c r="G41" s="2" t="s">
        <v>8</v>
      </c>
      <c r="H41" s="2" t="s">
        <v>8</v>
      </c>
      <c r="I41" s="2" t="s">
        <v>8</v>
      </c>
      <c r="J41" s="2" t="s">
        <v>8</v>
      </c>
      <c r="K41" s="2" t="s">
        <v>8</v>
      </c>
    </row>
    <row r="42" spans="1:11" ht="12.5" x14ac:dyDescent="0.25">
      <c r="A42" s="2">
        <v>9</v>
      </c>
      <c r="B42" s="2" t="s">
        <v>8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9</v>
      </c>
      <c r="H42" s="2" t="s">
        <v>8</v>
      </c>
      <c r="I42" s="2" t="s">
        <v>8</v>
      </c>
      <c r="J42" s="2" t="s">
        <v>9</v>
      </c>
      <c r="K42" s="2" t="s">
        <v>9</v>
      </c>
    </row>
    <row r="43" spans="1:11" ht="12.5" x14ac:dyDescent="0.25">
      <c r="A43" s="2">
        <v>10</v>
      </c>
      <c r="B43" s="2" t="s">
        <v>9</v>
      </c>
      <c r="C43" s="2" t="s">
        <v>9</v>
      </c>
      <c r="D43" s="2" t="s">
        <v>9</v>
      </c>
      <c r="E43" s="2" t="s">
        <v>9</v>
      </c>
      <c r="F43" s="2" t="s">
        <v>9</v>
      </c>
      <c r="G43" s="2" t="s">
        <v>9</v>
      </c>
      <c r="H43" s="2" t="s">
        <v>9</v>
      </c>
      <c r="I43" s="2" t="s">
        <v>9</v>
      </c>
      <c r="J43" s="2" t="s">
        <v>9</v>
      </c>
      <c r="K43" s="2" t="s">
        <v>9</v>
      </c>
    </row>
    <row r="44" spans="1:11" ht="12.5" x14ac:dyDescent="0.25">
      <c r="A44" s="2" t="s">
        <v>2</v>
      </c>
      <c r="B44" s="2" t="s">
        <v>8</v>
      </c>
      <c r="C44" s="2" t="s">
        <v>8</v>
      </c>
      <c r="D44" s="2" t="s">
        <v>8</v>
      </c>
      <c r="E44" s="2" t="s">
        <v>8</v>
      </c>
      <c r="F44" s="2" t="s">
        <v>8</v>
      </c>
      <c r="G44" s="2" t="s">
        <v>8</v>
      </c>
      <c r="H44" s="2" t="s">
        <v>8</v>
      </c>
      <c r="I44" s="2" t="s">
        <v>8</v>
      </c>
      <c r="J44" s="2" t="s">
        <v>8</v>
      </c>
      <c r="K44" s="2" t="s">
        <v>8</v>
      </c>
    </row>
  </sheetData>
  <mergeCells count="1">
    <mergeCell ref="A1:K1"/>
  </mergeCells>
  <conditionalFormatting sqref="A1:K44">
    <cfRule type="cellIs" dxfId="17" priority="1" operator="equal">
      <formula>"H"</formula>
    </cfRule>
    <cfRule type="cellIs" dxfId="16" priority="2" operator="equal">
      <formula>"S"</formula>
    </cfRule>
    <cfRule type="cellIs" dxfId="15" priority="3" operator="equal">
      <formula>"R"</formula>
    </cfRule>
    <cfRule type="cellIs" dxfId="14" priority="4" operator="equal">
      <formula>"D"</formula>
    </cfRule>
    <cfRule type="cellIs" dxfId="13" priority="5" operator="equal">
      <formula>"Y"</formula>
    </cfRule>
    <cfRule type="cellIs" dxfId="12" priority="6" operator="equal">
      <formula>"N"</formula>
    </cfRule>
    <cfRule type="cellIs" dxfId="11" priority="7" operator="equal">
      <formula>"Sp"</formula>
    </cfRule>
  </conditionalFormatting>
  <hyperlinks>
    <hyperlink ref="A1" r:id="rId1" xr:uid="{00000000-0004-0000-0000-000000000000}"/>
  </hyperlinks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Z18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sheetData>
    <row r="1" spans="1:52" ht="15.75" customHeight="1" x14ac:dyDescent="0.25">
      <c r="A1" s="5" t="s">
        <v>10</v>
      </c>
      <c r="B1" s="5">
        <v>2</v>
      </c>
      <c r="C1" s="5">
        <v>3</v>
      </c>
      <c r="D1" s="5">
        <v>4</v>
      </c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 t="s">
        <v>2</v>
      </c>
    </row>
    <row r="2" spans="1:52" ht="15.75" customHeight="1" x14ac:dyDescent="0.25">
      <c r="A2" s="5" t="s">
        <v>11</v>
      </c>
      <c r="B2" s="5">
        <f t="shared" ref="B2:I2" si="0">B11</f>
        <v>0.35360813639536137</v>
      </c>
      <c r="C2" s="5">
        <f t="shared" si="0"/>
        <v>0.3738748853821432</v>
      </c>
      <c r="D2" s="5">
        <f t="shared" si="0"/>
        <v>0.39446844550254284</v>
      </c>
      <c r="E2" s="5">
        <f t="shared" si="0"/>
        <v>0.41640366958226238</v>
      </c>
      <c r="F2" s="5">
        <f t="shared" si="0"/>
        <v>0.42315049208499783</v>
      </c>
      <c r="G2" s="5">
        <f t="shared" si="0"/>
        <v>0.26231240836153336</v>
      </c>
      <c r="H2" s="5">
        <f t="shared" si="0"/>
        <v>0.2447412422511914</v>
      </c>
      <c r="I2" s="5">
        <f t="shared" si="0"/>
        <v>0.2284251594344453</v>
      </c>
      <c r="J2" s="5">
        <f t="shared" ref="J2:J7" si="1">(SUM(L11:S11)+4*T11)/12</f>
        <v>0.22978483300250749</v>
      </c>
      <c r="K2" s="5">
        <f t="shared" ref="K2:K7" si="2">(SUM(AG11:AO11)/9)</f>
        <v>0.16652461265724483</v>
      </c>
    </row>
    <row r="3" spans="1:52" ht="15.75" customHeight="1" x14ac:dyDescent="0.25">
      <c r="A3" s="5">
        <v>17</v>
      </c>
      <c r="B3" s="5">
        <f t="shared" ref="B3:I3" si="3">B12</f>
        <v>0.13980913952773527</v>
      </c>
      <c r="C3" s="5">
        <f t="shared" si="3"/>
        <v>0.13503398781113993</v>
      </c>
      <c r="D3" s="5">
        <f t="shared" si="3"/>
        <v>0.13048973584959825</v>
      </c>
      <c r="E3" s="5">
        <f t="shared" si="3"/>
        <v>0.12225128527055079</v>
      </c>
      <c r="F3" s="5">
        <f t="shared" si="3"/>
        <v>0.16543817650334638</v>
      </c>
      <c r="G3" s="5">
        <f t="shared" si="3"/>
        <v>0.36856619379423861</v>
      </c>
      <c r="H3" s="5">
        <f t="shared" si="3"/>
        <v>0.12856654444917001</v>
      </c>
      <c r="I3" s="5">
        <f t="shared" si="3"/>
        <v>0.119995441485892</v>
      </c>
      <c r="J3" s="5">
        <f t="shared" si="1"/>
        <v>0.12070970006616517</v>
      </c>
      <c r="K3" s="5">
        <f t="shared" si="2"/>
        <v>0.18891729969077325</v>
      </c>
    </row>
    <row r="4" spans="1:52" ht="15.75" customHeight="1" x14ac:dyDescent="0.25">
      <c r="A4" s="5">
        <v>18</v>
      </c>
      <c r="B4" s="5">
        <f t="shared" ref="B4:I4" si="4">B13</f>
        <v>0.13490735037469442</v>
      </c>
      <c r="C4" s="5">
        <f t="shared" si="4"/>
        <v>0.13048232645474483</v>
      </c>
      <c r="D4" s="5">
        <f t="shared" si="4"/>
        <v>0.12593807449320316</v>
      </c>
      <c r="E4" s="5">
        <f t="shared" si="4"/>
        <v>0.12225128527055079</v>
      </c>
      <c r="F4" s="5">
        <f t="shared" si="4"/>
        <v>0.10626657887021028</v>
      </c>
      <c r="G4" s="5">
        <f t="shared" si="4"/>
        <v>0.13779696302500785</v>
      </c>
      <c r="H4" s="5">
        <f t="shared" si="4"/>
        <v>0.35933577521840082</v>
      </c>
      <c r="I4" s="5">
        <f t="shared" si="4"/>
        <v>0.119995441485892</v>
      </c>
      <c r="J4" s="5">
        <f t="shared" si="1"/>
        <v>0.12070970006616517</v>
      </c>
      <c r="K4" s="5">
        <f t="shared" si="2"/>
        <v>0.18891729969077325</v>
      </c>
    </row>
    <row r="5" spans="1:52" ht="15.75" customHeight="1" x14ac:dyDescent="0.25">
      <c r="A5" s="5">
        <v>19</v>
      </c>
      <c r="B5" s="5">
        <f t="shared" ref="B5:I5" si="5">B14</f>
        <v>0.12965543342500779</v>
      </c>
      <c r="C5" s="5">
        <f t="shared" si="5"/>
        <v>0.12558053730170399</v>
      </c>
      <c r="D5" s="5">
        <f t="shared" si="5"/>
        <v>0.12138641313680808</v>
      </c>
      <c r="E5" s="5">
        <f t="shared" si="5"/>
        <v>0.11769962391415568</v>
      </c>
      <c r="F5" s="5">
        <f t="shared" si="5"/>
        <v>0.10626657887021028</v>
      </c>
      <c r="G5" s="5">
        <f t="shared" si="5"/>
        <v>7.8625365391871746E-2</v>
      </c>
      <c r="H5" s="5">
        <f t="shared" si="5"/>
        <v>0.12856654444917001</v>
      </c>
      <c r="I5" s="5">
        <f t="shared" si="5"/>
        <v>0.35076467225512281</v>
      </c>
      <c r="J5" s="5">
        <f t="shared" si="1"/>
        <v>0.12070970006616517</v>
      </c>
      <c r="K5" s="5">
        <f t="shared" si="2"/>
        <v>0.18891729969077325</v>
      </c>
    </row>
    <row r="6" spans="1:52" ht="15.75" customHeight="1" x14ac:dyDescent="0.25">
      <c r="A6" s="5">
        <v>20</v>
      </c>
      <c r="B6" s="5">
        <f t="shared" ref="B6:I6" si="6">B15</f>
        <v>0.12402645577124111</v>
      </c>
      <c r="C6" s="5">
        <f t="shared" si="6"/>
        <v>0.12032862035201736</v>
      </c>
      <c r="D6" s="5">
        <f t="shared" si="6"/>
        <v>0.1164846239837672</v>
      </c>
      <c r="E6" s="5">
        <f t="shared" si="6"/>
        <v>0.11314796255776062</v>
      </c>
      <c r="F6" s="5">
        <f t="shared" si="6"/>
        <v>0.1017149175138152</v>
      </c>
      <c r="G6" s="5">
        <f t="shared" si="6"/>
        <v>7.8625365391871746E-2</v>
      </c>
      <c r="H6" s="5">
        <f t="shared" si="6"/>
        <v>6.9394946816033906E-2</v>
      </c>
      <c r="I6" s="5">
        <f t="shared" si="6"/>
        <v>0.119995441485892</v>
      </c>
      <c r="J6" s="5">
        <f t="shared" si="1"/>
        <v>0.37070970006616516</v>
      </c>
      <c r="K6" s="5">
        <f t="shared" si="2"/>
        <v>0.18891729969077325</v>
      </c>
    </row>
    <row r="7" spans="1:52" ht="15.75" customHeight="1" x14ac:dyDescent="0.25">
      <c r="A7" s="5">
        <v>21</v>
      </c>
      <c r="B7" s="5">
        <f t="shared" ref="B7:I7" si="7">B16</f>
        <v>0.11799348450596003</v>
      </c>
      <c r="C7" s="5">
        <f t="shared" si="7"/>
        <v>0.11469964269825066</v>
      </c>
      <c r="D7" s="5">
        <f t="shared" si="7"/>
        <v>0.11123270703408056</v>
      </c>
      <c r="E7" s="5">
        <f t="shared" si="7"/>
        <v>0.10824617340471974</v>
      </c>
      <c r="F7" s="5">
        <f t="shared" si="7"/>
        <v>9.7163256157420108E-2</v>
      </c>
      <c r="G7" s="5">
        <f t="shared" si="7"/>
        <v>7.4073704035476667E-2</v>
      </c>
      <c r="H7" s="5">
        <f t="shared" si="7"/>
        <v>6.9394946816033906E-2</v>
      </c>
      <c r="I7" s="5">
        <f t="shared" si="7"/>
        <v>6.0823843852755917E-2</v>
      </c>
      <c r="J7" s="5">
        <f t="shared" si="1"/>
        <v>3.7376366732831838E-2</v>
      </c>
      <c r="K7" s="5">
        <f t="shared" si="2"/>
        <v>7.780618857966215E-2</v>
      </c>
    </row>
    <row r="8" spans="1:52" ht="15.75" customHeight="1" x14ac:dyDescent="0.25">
      <c r="A8" s="5" t="s">
        <v>12</v>
      </c>
      <c r="B8" s="5">
        <f t="shared" ref="B8:K8" si="8">SUM(B2:B7)</f>
        <v>1</v>
      </c>
      <c r="C8" s="5">
        <f t="shared" si="8"/>
        <v>0.99999999999999989</v>
      </c>
      <c r="D8" s="5">
        <f t="shared" si="8"/>
        <v>1.0000000000000002</v>
      </c>
      <c r="E8" s="5">
        <f t="shared" si="8"/>
        <v>1</v>
      </c>
      <c r="F8" s="5">
        <f t="shared" si="8"/>
        <v>1.0000000000000002</v>
      </c>
      <c r="G8" s="5">
        <f t="shared" si="8"/>
        <v>0.99999999999999989</v>
      </c>
      <c r="H8" s="5">
        <f t="shared" si="8"/>
        <v>1</v>
      </c>
      <c r="I8" s="5">
        <f t="shared" si="8"/>
        <v>1</v>
      </c>
      <c r="J8" s="5">
        <f t="shared" si="8"/>
        <v>1</v>
      </c>
      <c r="K8" s="5">
        <f t="shared" si="8"/>
        <v>1</v>
      </c>
      <c r="AG8" s="5" t="s">
        <v>6</v>
      </c>
    </row>
    <row r="9" spans="1:52" ht="15.75" customHeight="1" x14ac:dyDescent="0.25">
      <c r="A9" s="5"/>
      <c r="AG9" s="5"/>
    </row>
    <row r="10" spans="1:52" ht="15.75" customHeight="1" x14ac:dyDescent="0.25">
      <c r="A10" s="6" t="s">
        <v>10</v>
      </c>
      <c r="B10" s="6">
        <v>2</v>
      </c>
      <c r="C10" s="6">
        <v>3</v>
      </c>
      <c r="D10" s="6">
        <v>4</v>
      </c>
      <c r="E10" s="6">
        <v>5</v>
      </c>
      <c r="F10" s="6">
        <v>6</v>
      </c>
      <c r="G10" s="6">
        <v>7</v>
      </c>
      <c r="H10" s="6">
        <v>8</v>
      </c>
      <c r="I10" s="6">
        <v>9</v>
      </c>
      <c r="J10" s="6">
        <v>10</v>
      </c>
      <c r="K10" s="6">
        <v>11</v>
      </c>
      <c r="L10" s="6">
        <v>12</v>
      </c>
      <c r="M10" s="6">
        <v>13</v>
      </c>
      <c r="N10" s="6">
        <v>14</v>
      </c>
      <c r="O10" s="6">
        <v>15</v>
      </c>
      <c r="P10" s="6">
        <v>16</v>
      </c>
      <c r="Q10" s="6">
        <v>17</v>
      </c>
      <c r="R10" s="6">
        <v>18</v>
      </c>
      <c r="S10" s="6">
        <v>19</v>
      </c>
      <c r="T10" s="6">
        <v>20</v>
      </c>
      <c r="U10" s="6">
        <v>21</v>
      </c>
      <c r="V10" s="6">
        <v>22</v>
      </c>
      <c r="W10" s="6">
        <v>23</v>
      </c>
      <c r="X10" s="6">
        <v>24</v>
      </c>
      <c r="Y10" s="6">
        <v>25</v>
      </c>
      <c r="Z10" s="6">
        <v>26</v>
      </c>
      <c r="AA10" s="6">
        <v>27</v>
      </c>
      <c r="AB10" s="6">
        <v>28</v>
      </c>
      <c r="AC10" s="6">
        <v>29</v>
      </c>
      <c r="AD10" s="6">
        <v>30</v>
      </c>
      <c r="AE10" s="6">
        <v>31</v>
      </c>
      <c r="AF10" s="6"/>
      <c r="AG10" s="6">
        <v>12</v>
      </c>
      <c r="AH10" s="6">
        <v>13</v>
      </c>
      <c r="AI10" s="6">
        <v>14</v>
      </c>
      <c r="AJ10" s="6">
        <v>15</v>
      </c>
      <c r="AK10" s="6">
        <v>16</v>
      </c>
      <c r="AL10" s="6">
        <v>17</v>
      </c>
      <c r="AM10" s="6">
        <v>18</v>
      </c>
      <c r="AN10" s="6">
        <v>19</v>
      </c>
      <c r="AO10" s="6">
        <v>20</v>
      </c>
      <c r="AP10" s="6">
        <v>21</v>
      </c>
      <c r="AQ10" s="6">
        <v>22</v>
      </c>
      <c r="AR10" s="6">
        <v>23</v>
      </c>
      <c r="AS10" s="6">
        <v>24</v>
      </c>
      <c r="AT10" s="6">
        <v>25</v>
      </c>
      <c r="AU10" s="6">
        <v>26</v>
      </c>
      <c r="AV10" s="6">
        <v>27</v>
      </c>
      <c r="AW10" s="6">
        <v>28</v>
      </c>
      <c r="AX10" s="6">
        <v>29</v>
      </c>
      <c r="AY10" s="6">
        <v>30</v>
      </c>
      <c r="AZ10" s="6">
        <v>31</v>
      </c>
    </row>
    <row r="11" spans="1:52" ht="15.75" customHeight="1" x14ac:dyDescent="0.25">
      <c r="A11" s="5" t="s">
        <v>11</v>
      </c>
      <c r="B11" s="5">
        <f t="shared" ref="B11:P11" si="9">(SUM(D11:K11)+4*L11+AH11)/13</f>
        <v>0.35360813639536137</v>
      </c>
      <c r="C11" s="5">
        <f t="shared" si="9"/>
        <v>0.3738748853821432</v>
      </c>
      <c r="D11" s="5">
        <f t="shared" si="9"/>
        <v>0.39446844550254284</v>
      </c>
      <c r="E11" s="5">
        <f t="shared" si="9"/>
        <v>0.41640366958226238</v>
      </c>
      <c r="F11" s="5">
        <f t="shared" si="9"/>
        <v>0.42315049208499783</v>
      </c>
      <c r="G11" s="5">
        <f t="shared" si="9"/>
        <v>0.26231240836153336</v>
      </c>
      <c r="H11" s="5">
        <f t="shared" si="9"/>
        <v>0.2447412422511914</v>
      </c>
      <c r="I11" s="5">
        <f t="shared" si="9"/>
        <v>0.2284251594344453</v>
      </c>
      <c r="J11" s="5">
        <f t="shared" si="9"/>
        <v>0.2121090766176992</v>
      </c>
      <c r="K11" s="5">
        <f t="shared" si="9"/>
        <v>0.2121090766176992</v>
      </c>
      <c r="L11" s="5">
        <f t="shared" si="9"/>
        <v>0.48267271400214928</v>
      </c>
      <c r="M11" s="5">
        <f t="shared" si="9"/>
        <v>0.51962466300199572</v>
      </c>
      <c r="N11" s="5">
        <f t="shared" si="9"/>
        <v>0.55393718707328177</v>
      </c>
      <c r="O11" s="5">
        <f t="shared" si="9"/>
        <v>0.58579881656804733</v>
      </c>
      <c r="P11" s="5">
        <f t="shared" si="9"/>
        <v>0.61538461538461542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G11" s="5">
        <f t="shared" ref="AG11:AK11" si="10">(SUM(AH11:AP11)+4*AQ11)/13</f>
        <v>0.24495802642312861</v>
      </c>
      <c r="AH11" s="5">
        <f t="shared" si="10"/>
        <v>0.27249534667872904</v>
      </c>
      <c r="AI11" s="5">
        <f t="shared" si="10"/>
        <v>0.29995101900790128</v>
      </c>
      <c r="AJ11" s="5">
        <f t="shared" si="10"/>
        <v>0.32719621086821865</v>
      </c>
      <c r="AK11" s="5">
        <f t="shared" si="10"/>
        <v>0.35412091093722581</v>
      </c>
      <c r="AQ11" s="5">
        <f t="shared" ref="AQ11:AZ11" si="11">L11</f>
        <v>0.48267271400214928</v>
      </c>
      <c r="AR11" s="5">
        <f t="shared" si="11"/>
        <v>0.51962466300199572</v>
      </c>
      <c r="AS11" s="5">
        <f t="shared" si="11"/>
        <v>0.55393718707328177</v>
      </c>
      <c r="AT11" s="5">
        <f t="shared" si="11"/>
        <v>0.58579881656804733</v>
      </c>
      <c r="AU11" s="5">
        <f t="shared" si="11"/>
        <v>0.61538461538461542</v>
      </c>
      <c r="AV11" s="5">
        <f t="shared" si="11"/>
        <v>0</v>
      </c>
      <c r="AW11" s="5">
        <f t="shared" si="11"/>
        <v>0</v>
      </c>
      <c r="AX11" s="5">
        <f t="shared" si="11"/>
        <v>0</v>
      </c>
      <c r="AY11" s="5">
        <f t="shared" si="11"/>
        <v>0</v>
      </c>
      <c r="AZ11" s="5">
        <f t="shared" si="11"/>
        <v>0</v>
      </c>
    </row>
    <row r="12" spans="1:52" ht="15.75" customHeight="1" x14ac:dyDescent="0.25">
      <c r="A12" s="5">
        <v>17</v>
      </c>
      <c r="B12" s="5">
        <f t="shared" ref="B12:P12" si="12">(SUM(D12:K12)+4*L12+AH12)/13</f>
        <v>0.13980913952773527</v>
      </c>
      <c r="C12" s="5">
        <f t="shared" si="12"/>
        <v>0.13503398781113993</v>
      </c>
      <c r="D12" s="5">
        <f t="shared" si="12"/>
        <v>0.13048973584959825</v>
      </c>
      <c r="E12" s="5">
        <f t="shared" si="12"/>
        <v>0.12225128527055079</v>
      </c>
      <c r="F12" s="5">
        <f t="shared" si="12"/>
        <v>0.16543817650334638</v>
      </c>
      <c r="G12" s="5">
        <f t="shared" si="12"/>
        <v>0.36856619379423861</v>
      </c>
      <c r="H12" s="5">
        <f t="shared" si="12"/>
        <v>0.12856654444917001</v>
      </c>
      <c r="I12" s="5">
        <f t="shared" si="12"/>
        <v>0.119995441485892</v>
      </c>
      <c r="J12" s="5">
        <f t="shared" si="12"/>
        <v>0.11142433852261401</v>
      </c>
      <c r="K12" s="5">
        <f t="shared" si="12"/>
        <v>0.11142433852261401</v>
      </c>
      <c r="L12" s="5">
        <f t="shared" si="12"/>
        <v>0.10346545719957015</v>
      </c>
      <c r="M12" s="5">
        <f t="shared" si="12"/>
        <v>9.6075067399600853E-2</v>
      </c>
      <c r="N12" s="5">
        <f t="shared" si="12"/>
        <v>8.9212562585343644E-2</v>
      </c>
      <c r="O12" s="5">
        <f t="shared" si="12"/>
        <v>8.2840236686390525E-2</v>
      </c>
      <c r="P12" s="5">
        <f t="shared" si="12"/>
        <v>7.6923076923076927E-2</v>
      </c>
      <c r="Q12" s="5">
        <v>1</v>
      </c>
      <c r="AG12" s="5">
        <f t="shared" ref="AG12:AK12" si="13">(SUM(AH12:AP12)+4*AQ12)/13</f>
        <v>0.15100839471537425</v>
      </c>
      <c r="AH12" s="5">
        <f t="shared" si="13"/>
        <v>0.14550093066425418</v>
      </c>
      <c r="AI12" s="5">
        <f t="shared" si="13"/>
        <v>0.14000979619841974</v>
      </c>
      <c r="AJ12" s="5">
        <f t="shared" si="13"/>
        <v>0.13456075782635629</v>
      </c>
      <c r="AK12" s="5">
        <f t="shared" si="13"/>
        <v>0.12917581781255486</v>
      </c>
      <c r="AL12" s="5">
        <v>1</v>
      </c>
      <c r="AQ12" s="5">
        <f t="shared" ref="AQ12:AZ12" si="14">L12</f>
        <v>0.10346545719957015</v>
      </c>
      <c r="AR12" s="5">
        <f t="shared" si="14"/>
        <v>9.6075067399600853E-2</v>
      </c>
      <c r="AS12" s="5">
        <f t="shared" si="14"/>
        <v>8.9212562585343644E-2</v>
      </c>
      <c r="AT12" s="5">
        <f t="shared" si="14"/>
        <v>8.2840236686390525E-2</v>
      </c>
      <c r="AU12" s="5">
        <f t="shared" si="14"/>
        <v>7.6923076923076927E-2</v>
      </c>
      <c r="AV12" s="5">
        <f t="shared" si="14"/>
        <v>1</v>
      </c>
      <c r="AW12" s="5">
        <f t="shared" si="14"/>
        <v>0</v>
      </c>
      <c r="AX12" s="5">
        <f t="shared" si="14"/>
        <v>0</v>
      </c>
      <c r="AY12" s="5">
        <f t="shared" si="14"/>
        <v>0</v>
      </c>
      <c r="AZ12" s="5">
        <f t="shared" si="14"/>
        <v>0</v>
      </c>
    </row>
    <row r="13" spans="1:52" ht="15.75" customHeight="1" x14ac:dyDescent="0.25">
      <c r="A13" s="5">
        <v>18</v>
      </c>
      <c r="B13" s="5">
        <f t="shared" ref="B13:P13" si="15">(SUM(D13:K13)+4*L13+AH13)/13</f>
        <v>0.13490735037469442</v>
      </c>
      <c r="C13" s="5">
        <f t="shared" si="15"/>
        <v>0.13048232645474483</v>
      </c>
      <c r="D13" s="5">
        <f t="shared" si="15"/>
        <v>0.12593807449320316</v>
      </c>
      <c r="E13" s="5">
        <f t="shared" si="15"/>
        <v>0.12225128527055079</v>
      </c>
      <c r="F13" s="5">
        <f t="shared" si="15"/>
        <v>0.10626657887021028</v>
      </c>
      <c r="G13" s="5">
        <f t="shared" si="15"/>
        <v>0.13779696302500785</v>
      </c>
      <c r="H13" s="5">
        <f t="shared" si="15"/>
        <v>0.35933577521840082</v>
      </c>
      <c r="I13" s="5">
        <f t="shared" si="15"/>
        <v>0.119995441485892</v>
      </c>
      <c r="J13" s="5">
        <f t="shared" si="15"/>
        <v>0.11142433852261401</v>
      </c>
      <c r="K13" s="5">
        <f t="shared" si="15"/>
        <v>0.11142433852261401</v>
      </c>
      <c r="L13" s="5">
        <f t="shared" si="15"/>
        <v>0.10346545719957015</v>
      </c>
      <c r="M13" s="5">
        <f t="shared" si="15"/>
        <v>9.6075067399600853E-2</v>
      </c>
      <c r="N13" s="5">
        <f t="shared" si="15"/>
        <v>8.9212562585343644E-2</v>
      </c>
      <c r="O13" s="5">
        <f t="shared" si="15"/>
        <v>8.2840236686390525E-2</v>
      </c>
      <c r="P13" s="5">
        <f t="shared" si="15"/>
        <v>7.6923076923076927E-2</v>
      </c>
      <c r="R13" s="5">
        <v>1</v>
      </c>
      <c r="AG13" s="5">
        <f t="shared" ref="AG13:AK13" si="16">(SUM(AH13:AP13)+4*AQ13)/13</f>
        <v>0.15100839471537425</v>
      </c>
      <c r="AH13" s="5">
        <f t="shared" si="16"/>
        <v>0.14550093066425418</v>
      </c>
      <c r="AI13" s="5">
        <f t="shared" si="16"/>
        <v>0.14000979619841974</v>
      </c>
      <c r="AJ13" s="5">
        <f t="shared" si="16"/>
        <v>0.13456075782635629</v>
      </c>
      <c r="AK13" s="5">
        <f t="shared" si="16"/>
        <v>0.12917581781255486</v>
      </c>
      <c r="AM13" s="5">
        <v>1</v>
      </c>
      <c r="AQ13" s="5">
        <f t="shared" ref="AQ13:AZ13" si="17">L13</f>
        <v>0.10346545719957015</v>
      </c>
      <c r="AR13" s="5">
        <f t="shared" si="17"/>
        <v>9.6075067399600853E-2</v>
      </c>
      <c r="AS13" s="5">
        <f t="shared" si="17"/>
        <v>8.9212562585343644E-2</v>
      </c>
      <c r="AT13" s="5">
        <f t="shared" si="17"/>
        <v>8.2840236686390525E-2</v>
      </c>
      <c r="AU13" s="5">
        <f t="shared" si="17"/>
        <v>7.6923076923076927E-2</v>
      </c>
      <c r="AV13" s="5">
        <f t="shared" si="17"/>
        <v>0</v>
      </c>
      <c r="AW13" s="5">
        <f t="shared" si="17"/>
        <v>1</v>
      </c>
      <c r="AX13" s="5">
        <f t="shared" si="17"/>
        <v>0</v>
      </c>
      <c r="AY13" s="5">
        <f t="shared" si="17"/>
        <v>0</v>
      </c>
      <c r="AZ13" s="5">
        <f t="shared" si="17"/>
        <v>0</v>
      </c>
    </row>
    <row r="14" spans="1:52" ht="15.75" customHeight="1" x14ac:dyDescent="0.25">
      <c r="A14" s="5">
        <v>19</v>
      </c>
      <c r="B14" s="5">
        <f t="shared" ref="B14:P14" si="18">(SUM(D14:K14)+4*L14+AH14)/13</f>
        <v>0.12965543342500779</v>
      </c>
      <c r="C14" s="5">
        <f t="shared" si="18"/>
        <v>0.12558053730170399</v>
      </c>
      <c r="D14" s="5">
        <f t="shared" si="18"/>
        <v>0.12138641313680808</v>
      </c>
      <c r="E14" s="5">
        <f t="shared" si="18"/>
        <v>0.11769962391415568</v>
      </c>
      <c r="F14" s="5">
        <f t="shared" si="18"/>
        <v>0.10626657887021028</v>
      </c>
      <c r="G14" s="5">
        <f t="shared" si="18"/>
        <v>7.8625365391871746E-2</v>
      </c>
      <c r="H14" s="5">
        <f t="shared" si="18"/>
        <v>0.12856654444917001</v>
      </c>
      <c r="I14" s="5">
        <f t="shared" si="18"/>
        <v>0.35076467225512281</v>
      </c>
      <c r="J14" s="5">
        <f t="shared" si="18"/>
        <v>0.11142433852261401</v>
      </c>
      <c r="K14" s="5">
        <f t="shared" si="18"/>
        <v>0.11142433852261401</v>
      </c>
      <c r="L14" s="5">
        <f t="shared" si="18"/>
        <v>0.10346545719957015</v>
      </c>
      <c r="M14" s="5">
        <f t="shared" si="18"/>
        <v>9.6075067399600853E-2</v>
      </c>
      <c r="N14" s="5">
        <f t="shared" si="18"/>
        <v>8.9212562585343644E-2</v>
      </c>
      <c r="O14" s="5">
        <f t="shared" si="18"/>
        <v>8.2840236686390525E-2</v>
      </c>
      <c r="P14" s="5">
        <f t="shared" si="18"/>
        <v>7.6923076923076927E-2</v>
      </c>
      <c r="S14" s="5">
        <v>1</v>
      </c>
      <c r="AG14" s="5">
        <f t="shared" ref="AG14:AK14" si="19">(SUM(AH14:AP14)+4*AQ14)/13</f>
        <v>0.15100839471537425</v>
      </c>
      <c r="AH14" s="5">
        <f t="shared" si="19"/>
        <v>0.14550093066425418</v>
      </c>
      <c r="AI14" s="5">
        <f t="shared" si="19"/>
        <v>0.14000979619841974</v>
      </c>
      <c r="AJ14" s="5">
        <f t="shared" si="19"/>
        <v>0.13456075782635629</v>
      </c>
      <c r="AK14" s="5">
        <f t="shared" si="19"/>
        <v>0.12917581781255486</v>
      </c>
      <c r="AN14" s="5">
        <v>1</v>
      </c>
      <c r="AQ14" s="5">
        <f t="shared" ref="AQ14:AZ14" si="20">L14</f>
        <v>0.10346545719957015</v>
      </c>
      <c r="AR14" s="5">
        <f t="shared" si="20"/>
        <v>9.6075067399600853E-2</v>
      </c>
      <c r="AS14" s="5">
        <f t="shared" si="20"/>
        <v>8.9212562585343644E-2</v>
      </c>
      <c r="AT14" s="5">
        <f t="shared" si="20"/>
        <v>8.2840236686390525E-2</v>
      </c>
      <c r="AU14" s="5">
        <f t="shared" si="20"/>
        <v>7.6923076923076927E-2</v>
      </c>
      <c r="AV14" s="5">
        <f t="shared" si="20"/>
        <v>0</v>
      </c>
      <c r="AW14" s="5">
        <f t="shared" si="20"/>
        <v>0</v>
      </c>
      <c r="AX14" s="5">
        <f t="shared" si="20"/>
        <v>1</v>
      </c>
      <c r="AY14" s="5">
        <f t="shared" si="20"/>
        <v>0</v>
      </c>
      <c r="AZ14" s="5">
        <f t="shared" si="20"/>
        <v>0</v>
      </c>
    </row>
    <row r="15" spans="1:52" ht="15.75" customHeight="1" x14ac:dyDescent="0.25">
      <c r="A15" s="5">
        <v>20</v>
      </c>
      <c r="B15" s="5">
        <f t="shared" ref="B15:P15" si="21">(SUM(D15:K15)+4*L15+AH15)/13</f>
        <v>0.12402645577124111</v>
      </c>
      <c r="C15" s="5">
        <f t="shared" si="21"/>
        <v>0.12032862035201736</v>
      </c>
      <c r="D15" s="5">
        <f t="shared" si="21"/>
        <v>0.1164846239837672</v>
      </c>
      <c r="E15" s="5">
        <f t="shared" si="21"/>
        <v>0.11314796255776062</v>
      </c>
      <c r="F15" s="5">
        <f t="shared" si="21"/>
        <v>0.1017149175138152</v>
      </c>
      <c r="G15" s="5">
        <f t="shared" si="21"/>
        <v>7.8625365391871746E-2</v>
      </c>
      <c r="H15" s="5">
        <f t="shared" si="21"/>
        <v>6.9394946816033906E-2</v>
      </c>
      <c r="I15" s="5">
        <f t="shared" si="21"/>
        <v>0.119995441485892</v>
      </c>
      <c r="J15" s="5">
        <f t="shared" si="21"/>
        <v>0.34219356929184475</v>
      </c>
      <c r="K15" s="5">
        <f t="shared" si="21"/>
        <v>0.11142433852261401</v>
      </c>
      <c r="L15" s="5">
        <f t="shared" si="21"/>
        <v>0.10346545719957015</v>
      </c>
      <c r="M15" s="5">
        <f t="shared" si="21"/>
        <v>9.6075067399600853E-2</v>
      </c>
      <c r="N15" s="5">
        <f t="shared" si="21"/>
        <v>8.9212562585343644E-2</v>
      </c>
      <c r="O15" s="5">
        <f t="shared" si="21"/>
        <v>8.2840236686390525E-2</v>
      </c>
      <c r="P15" s="5">
        <f t="shared" si="21"/>
        <v>7.6923076923076927E-2</v>
      </c>
      <c r="T15" s="5">
        <v>1</v>
      </c>
      <c r="AG15" s="5">
        <f t="shared" ref="AG15:AK15" si="22">(SUM(AH15:AP15)+4*AQ15)/13</f>
        <v>0.15100839471537425</v>
      </c>
      <c r="AH15" s="5">
        <f t="shared" si="22"/>
        <v>0.14550093066425418</v>
      </c>
      <c r="AI15" s="5">
        <f t="shared" si="22"/>
        <v>0.14000979619841974</v>
      </c>
      <c r="AJ15" s="5">
        <f t="shared" si="22"/>
        <v>0.13456075782635629</v>
      </c>
      <c r="AK15" s="5">
        <f t="shared" si="22"/>
        <v>0.12917581781255486</v>
      </c>
      <c r="AO15" s="5">
        <v>1</v>
      </c>
      <c r="AQ15" s="5">
        <f t="shared" ref="AQ15:AZ15" si="23">L15</f>
        <v>0.10346545719957015</v>
      </c>
      <c r="AR15" s="5">
        <f t="shared" si="23"/>
        <v>9.6075067399600853E-2</v>
      </c>
      <c r="AS15" s="5">
        <f t="shared" si="23"/>
        <v>8.9212562585343644E-2</v>
      </c>
      <c r="AT15" s="5">
        <f t="shared" si="23"/>
        <v>8.2840236686390525E-2</v>
      </c>
      <c r="AU15" s="5">
        <f t="shared" si="23"/>
        <v>7.6923076923076927E-2</v>
      </c>
      <c r="AV15" s="5">
        <f t="shared" si="23"/>
        <v>0</v>
      </c>
      <c r="AW15" s="5">
        <f t="shared" si="23"/>
        <v>0</v>
      </c>
      <c r="AX15" s="5">
        <f t="shared" si="23"/>
        <v>0</v>
      </c>
      <c r="AY15" s="5">
        <f t="shared" si="23"/>
        <v>1</v>
      </c>
      <c r="AZ15" s="5">
        <f t="shared" si="23"/>
        <v>0</v>
      </c>
    </row>
    <row r="16" spans="1:52" ht="15.75" customHeight="1" x14ac:dyDescent="0.25">
      <c r="A16" s="5">
        <v>21</v>
      </c>
      <c r="B16" s="5">
        <f t="shared" ref="B16:P16" si="24">(SUM(D16:K16)+4*L16+AH16)/13</f>
        <v>0.11799348450596003</v>
      </c>
      <c r="C16" s="5">
        <f t="shared" si="24"/>
        <v>0.11469964269825066</v>
      </c>
      <c r="D16" s="5">
        <f t="shared" si="24"/>
        <v>0.11123270703408056</v>
      </c>
      <c r="E16" s="5">
        <f t="shared" si="24"/>
        <v>0.10824617340471974</v>
      </c>
      <c r="F16" s="5">
        <f t="shared" si="24"/>
        <v>9.7163256157420108E-2</v>
      </c>
      <c r="G16" s="5">
        <f t="shared" si="24"/>
        <v>7.4073704035476667E-2</v>
      </c>
      <c r="H16" s="5">
        <f t="shared" si="24"/>
        <v>6.9394946816033906E-2</v>
      </c>
      <c r="I16" s="5">
        <f t="shared" si="24"/>
        <v>6.0823843852755917E-2</v>
      </c>
      <c r="J16" s="5">
        <f t="shared" si="24"/>
        <v>0.11142433852261401</v>
      </c>
      <c r="K16" s="5">
        <f t="shared" si="24"/>
        <v>0.3421935692918448</v>
      </c>
      <c r="L16" s="5">
        <f t="shared" si="24"/>
        <v>0.10346545719957015</v>
      </c>
      <c r="M16" s="5">
        <f t="shared" si="24"/>
        <v>9.6075067399600853E-2</v>
      </c>
      <c r="N16" s="5">
        <f t="shared" si="24"/>
        <v>8.9212562585343644E-2</v>
      </c>
      <c r="O16" s="5">
        <f t="shared" si="24"/>
        <v>8.2840236686390525E-2</v>
      </c>
      <c r="P16" s="5">
        <f t="shared" si="24"/>
        <v>7.6923076923076927E-2</v>
      </c>
      <c r="U16" s="5">
        <v>1</v>
      </c>
      <c r="AG16" s="5">
        <f t="shared" ref="AG16:AK16" si="25">(SUM(AH16:AP16)+4*AQ16)/13</f>
        <v>0.15100839471537425</v>
      </c>
      <c r="AH16" s="5">
        <f t="shared" si="25"/>
        <v>0.14550093066425418</v>
      </c>
      <c r="AI16" s="5">
        <f t="shared" si="25"/>
        <v>0.14000979619841974</v>
      </c>
      <c r="AJ16" s="5">
        <f t="shared" si="25"/>
        <v>0.13456075782635629</v>
      </c>
      <c r="AK16" s="5">
        <f t="shared" si="25"/>
        <v>0.12917581781255486</v>
      </c>
      <c r="AP16" s="5">
        <v>1</v>
      </c>
      <c r="AQ16" s="5">
        <f t="shared" ref="AQ16:AZ16" si="26">L16</f>
        <v>0.10346545719957015</v>
      </c>
      <c r="AR16" s="5">
        <f t="shared" si="26"/>
        <v>9.6075067399600853E-2</v>
      </c>
      <c r="AS16" s="5">
        <f t="shared" si="26"/>
        <v>8.9212562585343644E-2</v>
      </c>
      <c r="AT16" s="5">
        <f t="shared" si="26"/>
        <v>8.2840236686390525E-2</v>
      </c>
      <c r="AU16" s="5">
        <f t="shared" si="26"/>
        <v>7.6923076923076927E-2</v>
      </c>
      <c r="AV16" s="5">
        <f t="shared" si="26"/>
        <v>0</v>
      </c>
      <c r="AW16" s="5">
        <f t="shared" si="26"/>
        <v>0</v>
      </c>
      <c r="AX16" s="5">
        <f t="shared" si="26"/>
        <v>0</v>
      </c>
      <c r="AY16" s="5">
        <f t="shared" si="26"/>
        <v>0</v>
      </c>
      <c r="AZ16" s="5">
        <f t="shared" si="26"/>
        <v>1</v>
      </c>
    </row>
    <row r="17" spans="1:52" ht="15.75" customHeight="1" x14ac:dyDescent="0.25">
      <c r="A17" s="5" t="s">
        <v>12</v>
      </c>
      <c r="B17" s="5">
        <f t="shared" ref="B17:AZ17" si="27">SUM(B11:B16)</f>
        <v>1</v>
      </c>
      <c r="C17" s="5">
        <f t="shared" si="27"/>
        <v>0.99999999999999989</v>
      </c>
      <c r="D17" s="5">
        <f t="shared" si="27"/>
        <v>1.0000000000000002</v>
      </c>
      <c r="E17" s="5">
        <f t="shared" si="27"/>
        <v>1</v>
      </c>
      <c r="F17" s="5">
        <f t="shared" si="27"/>
        <v>1.0000000000000002</v>
      </c>
      <c r="G17" s="5">
        <f t="shared" si="27"/>
        <v>0.99999999999999989</v>
      </c>
      <c r="H17" s="5">
        <f t="shared" si="27"/>
        <v>1</v>
      </c>
      <c r="I17" s="5">
        <f t="shared" si="27"/>
        <v>1</v>
      </c>
      <c r="J17" s="5">
        <f t="shared" si="27"/>
        <v>1</v>
      </c>
      <c r="K17" s="5">
        <f t="shared" si="27"/>
        <v>1</v>
      </c>
      <c r="L17" s="5">
        <f t="shared" si="27"/>
        <v>0.99999999999999989</v>
      </c>
      <c r="M17" s="5">
        <f t="shared" si="27"/>
        <v>0.99999999999999978</v>
      </c>
      <c r="N17" s="5">
        <f t="shared" si="27"/>
        <v>0.99999999999999978</v>
      </c>
      <c r="O17" s="5">
        <f t="shared" si="27"/>
        <v>0.99999999999999989</v>
      </c>
      <c r="P17" s="5">
        <f t="shared" si="27"/>
        <v>0.99999999999999978</v>
      </c>
      <c r="Q17" s="5">
        <f t="shared" si="27"/>
        <v>1</v>
      </c>
      <c r="R17" s="5">
        <f t="shared" si="27"/>
        <v>1</v>
      </c>
      <c r="S17" s="5">
        <f t="shared" si="27"/>
        <v>1</v>
      </c>
      <c r="T17" s="5">
        <f t="shared" si="27"/>
        <v>1</v>
      </c>
      <c r="U17" s="5">
        <f t="shared" si="27"/>
        <v>1</v>
      </c>
      <c r="V17" s="5">
        <f t="shared" si="27"/>
        <v>1</v>
      </c>
      <c r="W17" s="5">
        <f t="shared" si="27"/>
        <v>1</v>
      </c>
      <c r="X17" s="5">
        <f t="shared" si="27"/>
        <v>1</v>
      </c>
      <c r="Y17" s="5">
        <f t="shared" si="27"/>
        <v>1</v>
      </c>
      <c r="Z17" s="5">
        <f t="shared" si="27"/>
        <v>1</v>
      </c>
      <c r="AA17" s="5">
        <f t="shared" si="27"/>
        <v>1</v>
      </c>
      <c r="AB17" s="5">
        <f t="shared" si="27"/>
        <v>1</v>
      </c>
      <c r="AC17" s="5">
        <f t="shared" si="27"/>
        <v>1</v>
      </c>
      <c r="AD17" s="5">
        <f t="shared" si="27"/>
        <v>1</v>
      </c>
      <c r="AE17" s="5">
        <f t="shared" si="27"/>
        <v>1</v>
      </c>
      <c r="AF17" s="5">
        <f t="shared" si="27"/>
        <v>0</v>
      </c>
      <c r="AG17" s="5">
        <f t="shared" si="27"/>
        <v>0.99999999999999978</v>
      </c>
      <c r="AH17" s="5">
        <f t="shared" si="27"/>
        <v>0.99999999999999989</v>
      </c>
      <c r="AI17" s="5">
        <f t="shared" si="27"/>
        <v>0.99999999999999978</v>
      </c>
      <c r="AJ17" s="5">
        <f t="shared" si="27"/>
        <v>1.0000000000000002</v>
      </c>
      <c r="AK17" s="5">
        <f t="shared" si="27"/>
        <v>1</v>
      </c>
      <c r="AL17" s="5">
        <f t="shared" si="27"/>
        <v>1</v>
      </c>
      <c r="AM17" s="5">
        <f t="shared" si="27"/>
        <v>1</v>
      </c>
      <c r="AN17" s="5">
        <f t="shared" si="27"/>
        <v>1</v>
      </c>
      <c r="AO17" s="5">
        <f t="shared" si="27"/>
        <v>1</v>
      </c>
      <c r="AP17" s="5">
        <f t="shared" si="27"/>
        <v>1</v>
      </c>
      <c r="AQ17" s="5">
        <f t="shared" si="27"/>
        <v>0.99999999999999989</v>
      </c>
      <c r="AR17" s="5">
        <f t="shared" si="27"/>
        <v>0.99999999999999978</v>
      </c>
      <c r="AS17" s="5">
        <f t="shared" si="27"/>
        <v>0.99999999999999978</v>
      </c>
      <c r="AT17" s="5">
        <f t="shared" si="27"/>
        <v>0.99999999999999989</v>
      </c>
      <c r="AU17" s="5">
        <f t="shared" si="27"/>
        <v>0.99999999999999978</v>
      </c>
      <c r="AV17" s="5">
        <f t="shared" si="27"/>
        <v>1</v>
      </c>
      <c r="AW17" s="5">
        <f t="shared" si="27"/>
        <v>1</v>
      </c>
      <c r="AX17" s="5">
        <f t="shared" si="27"/>
        <v>1</v>
      </c>
      <c r="AY17" s="5">
        <f t="shared" si="27"/>
        <v>1</v>
      </c>
      <c r="AZ17" s="5">
        <f t="shared" si="27"/>
        <v>1</v>
      </c>
    </row>
    <row r="18" spans="1:52" ht="15.7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51"/>
  <sheetViews>
    <sheetView workbookViewId="0"/>
  </sheetViews>
  <sheetFormatPr defaultColWidth="12.6328125" defaultRowHeight="15.75" customHeight="1" x14ac:dyDescent="0.25"/>
  <sheetData>
    <row r="1" spans="1:11" ht="15.75" customHeight="1" x14ac:dyDescent="0.25">
      <c r="A1" s="5" t="s">
        <v>1</v>
      </c>
      <c r="B1" s="5">
        <v>2</v>
      </c>
      <c r="C1" s="5">
        <v>3</v>
      </c>
      <c r="D1" s="5">
        <v>4</v>
      </c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 t="s">
        <v>2</v>
      </c>
    </row>
    <row r="2" spans="1:11" ht="15.75" customHeight="1" x14ac:dyDescent="0.25">
      <c r="A2" s="5">
        <v>4</v>
      </c>
      <c r="B2" s="5">
        <f>(SUM(HS!B4:B11)+4*HS!B12+HS!B35)/13</f>
        <v>-0.11491332761892134</v>
      </c>
      <c r="C2" s="5">
        <f>(SUM(HS!C4:C11)+4*HS!C12+HS!C35)/13</f>
        <v>-8.2613314299744375E-2</v>
      </c>
      <c r="D2" s="5">
        <f>(SUM(HS!D4:D11)+4*HS!D12+HS!D35)/13</f>
        <v>-4.9367420106916908E-2</v>
      </c>
      <c r="E2" s="5">
        <f>(SUM(HS!E4:E11)+4*HS!E12+HS!E35)/13</f>
        <v>-1.2379926519926384E-2</v>
      </c>
      <c r="F2" s="5">
        <f>(SUM(HS!F4:F11)+4*HS!F12+HS!F35)/13</f>
        <v>1.1130417280979889E-2</v>
      </c>
      <c r="G2" s="5">
        <f>(SUM(HS!G4:G11)+4*HS!G12+HS!G35)/13</f>
        <v>-8.8279201058463722E-2</v>
      </c>
      <c r="H2" s="5">
        <f>(SUM(HS!H4:H11)+4*HS!H12+HS!H35)/13</f>
        <v>-0.15933415266020509</v>
      </c>
      <c r="I2" s="5">
        <f>(SUM(HS!I4:I11)+4*HS!I12+HS!I35)/13</f>
        <v>-0.24066617915336547</v>
      </c>
      <c r="J2" s="5">
        <f>(SUM(HS!J4:J11)+4*HS!J12+HS!J35)/13</f>
        <v>-0.28919791448567511</v>
      </c>
      <c r="K2" s="5">
        <f>(SUM(HS!K4:K11)+4*HS!K12+HS!K35)/13</f>
        <v>-0.25307699440390868</v>
      </c>
    </row>
    <row r="3" spans="1:11" ht="15.75" customHeight="1" x14ac:dyDescent="0.25">
      <c r="A3" s="5">
        <v>5</v>
      </c>
      <c r="B3" s="5">
        <f>(SUM(HS!B5:B12)+4*HS!B13+HS!B36)/13</f>
        <v>-0.12821556706374745</v>
      </c>
      <c r="C3" s="5">
        <f>(SUM(HS!C5:C12)+4*HS!C13+HS!C36)/13</f>
        <v>-9.5310227261489883E-2</v>
      </c>
      <c r="D3" s="5">
        <f>(SUM(HS!D5:D12)+4*HS!D13+HS!D36)/13</f>
        <v>-6.1479464199694238E-2</v>
      </c>
      <c r="E3" s="5">
        <f>(SUM(HS!E5:E12)+4*HS!E13+HS!E36)/13</f>
        <v>-2.397897039185962E-2</v>
      </c>
      <c r="F3" s="5">
        <f>(SUM(HS!F5:F12)+4*HS!F13+HS!F36)/13</f>
        <v>-1.1863378384400908E-3</v>
      </c>
      <c r="G3" s="5">
        <f>(SUM(HS!G5:G12)+4*HS!G13+HS!G36)/13</f>
        <v>-0.11944744188414852</v>
      </c>
      <c r="H3" s="5">
        <f>(SUM(HS!H5:H12)+4*HS!H13+HS!H36)/13</f>
        <v>-0.18809330390318518</v>
      </c>
      <c r="I3" s="5">
        <f>(SUM(HS!I5:I12)+4*HS!I13+HS!I36)/13</f>
        <v>-0.2666150533579591</v>
      </c>
      <c r="J3" s="5">
        <f>(SUM(HS!J5:J12)+4*HS!J13+HS!J36)/13</f>
        <v>-0.31341164336497107</v>
      </c>
      <c r="K3" s="5">
        <f>(SUM(HS!K5:K12)+4*HS!K13+HS!K36)/13</f>
        <v>-0.27857459755181968</v>
      </c>
    </row>
    <row r="4" spans="1:11" ht="15.75" customHeight="1" x14ac:dyDescent="0.25">
      <c r="A4" s="5">
        <v>6</v>
      </c>
      <c r="B4" s="5">
        <f>(SUM(HS!B6:B13)+4*HS!B14+HS!B37)/13</f>
        <v>-0.14075911746001987</v>
      </c>
      <c r="C4" s="5">
        <f>(SUM(HS!C6:C13)+4*HS!C14+HS!C37)/13</f>
        <v>-0.10729107800860836</v>
      </c>
      <c r="D4" s="5">
        <f>(SUM(HS!D6:D13)+4*HS!D14+HS!D37)/13</f>
        <v>-7.2917141926387305E-2</v>
      </c>
      <c r="E4" s="5">
        <f>(SUM(HS!E6:E13)+4*HS!E14+HS!E37)/13</f>
        <v>-3.4915973330102178E-2</v>
      </c>
      <c r="F4" s="5">
        <f>(SUM(HS!F6:F13)+4*HS!F14+HS!F37)/13</f>
        <v>-1.3005835529874204E-2</v>
      </c>
      <c r="G4" s="5">
        <f>(SUM(HS!G6:G13)+4*HS!G14+HS!G37)/13</f>
        <v>-0.15193270723669944</v>
      </c>
      <c r="H4" s="5">
        <f>(SUM(HS!H6:H13)+4*HS!H14+HS!H37)/13</f>
        <v>-0.21724188132078476</v>
      </c>
      <c r="I4" s="5">
        <f>(SUM(HS!I6:I13)+4*HS!I14+HS!I37)/13</f>
        <v>-0.29264070019772598</v>
      </c>
      <c r="J4" s="5">
        <f>(SUM(HS!J6:J13)+4*HS!J14+HS!J37)/13</f>
        <v>-0.33774944037840804</v>
      </c>
      <c r="K4" s="5">
        <f>(SUM(HS!K6:K13)+4*HS!K14+HS!K37)/13</f>
        <v>-0.30414663097569938</v>
      </c>
    </row>
    <row r="5" spans="1:11" ht="15.75" customHeight="1" x14ac:dyDescent="0.25">
      <c r="A5" s="5">
        <v>7</v>
      </c>
      <c r="B5" s="5">
        <f>(SUM(HS!B7:B14)+4*HS!B15+HS!B38)/13</f>
        <v>-0.10918342786661633</v>
      </c>
      <c r="C5" s="5">
        <f>(SUM(HS!C7:C14)+4*HS!C15+HS!C38)/13</f>
        <v>-7.658298190446361E-2</v>
      </c>
      <c r="D5" s="5">
        <f>(SUM(HS!D7:D14)+4*HS!D15+HS!D38)/13</f>
        <v>-4.3021794004341876E-2</v>
      </c>
      <c r="E5" s="5">
        <f>(SUM(HS!E7:E14)+4*HS!E15+HS!E38)/13</f>
        <v>-7.2713609029408845E-3</v>
      </c>
      <c r="F5" s="5">
        <f>(SUM(HS!F7:F14)+4*HS!F15+HS!F38)/13</f>
        <v>2.9185342353860964E-2</v>
      </c>
      <c r="G5" s="5">
        <f>(SUM(HS!G7:G14)+4*HS!G15+HS!G38)/13</f>
        <v>-6.8807799580427764E-2</v>
      </c>
      <c r="H5" s="5">
        <f>(SUM(HS!H7:H14)+4*HS!H15+HS!H38)/13</f>
        <v>-0.21060476872434966</v>
      </c>
      <c r="I5" s="5">
        <f>(SUM(HS!I7:I14)+4*HS!I15+HS!I38)/13</f>
        <v>-0.28536544048687662</v>
      </c>
      <c r="J5" s="5">
        <f>(SUM(HS!J7:J14)+4*HS!J15+HS!J38)/13</f>
        <v>-0.31905479139833842</v>
      </c>
      <c r="K5" s="5">
        <f>(SUM(HS!K7:K14)+4*HS!K15+HS!K38)/13</f>
        <v>-0.31007165033163697</v>
      </c>
    </row>
    <row r="6" spans="1:11" ht="15.75" customHeight="1" x14ac:dyDescent="0.25">
      <c r="A6" s="5">
        <v>8</v>
      </c>
      <c r="B6" s="5">
        <f>(SUM(HS!B8:B15)+4*HS!B16+HS!B39)/13</f>
        <v>-2.1798188008805668E-2</v>
      </c>
      <c r="C6" s="5">
        <f>(SUM(HS!C8:C15)+4*HS!C16+HS!C39)/13</f>
        <v>8.0052625306546651E-3</v>
      </c>
      <c r="D6" s="5">
        <f>(SUM(HS!D8:D15)+4*HS!D16+HS!D39)/13</f>
        <v>3.8784473277208811E-2</v>
      </c>
      <c r="E6" s="5">
        <f>(SUM(HS!E8:E15)+4*HS!E16+HS!E39)/13</f>
        <v>7.0804635983033826E-2</v>
      </c>
      <c r="F6" s="5">
        <f>(SUM(HS!F8:F15)+4*HS!F16+HS!F39)/13</f>
        <v>0.11496015009622332</v>
      </c>
      <c r="G6" s="5">
        <f>(SUM(HS!G8:G15)+4*HS!G16+HS!G39)/13</f>
        <v>8.2207439363742862E-2</v>
      </c>
      <c r="H6" s="5">
        <f>(SUM(HS!H8:H15)+4*HS!H16+HS!H39)/13</f>
        <v>-5.9898275658656304E-2</v>
      </c>
      <c r="I6" s="5">
        <f>(SUM(HS!I8:I15)+4*HS!I16+HS!I39)/13</f>
        <v>-0.21018633199821762</v>
      </c>
      <c r="J6" s="5">
        <f>(SUM(HS!J8:J15)+4*HS!J16+HS!J39)/13</f>
        <v>-0.24937508055334259</v>
      </c>
      <c r="K6" s="5">
        <f>(SUM(HS!K8:K15)+4*HS!K16+HS!K39)/13</f>
        <v>-0.1970288105741636</v>
      </c>
    </row>
    <row r="7" spans="1:11" ht="15.75" customHeight="1" x14ac:dyDescent="0.25">
      <c r="A7" s="5">
        <v>9</v>
      </c>
      <c r="B7" s="5">
        <f>(SUM(HS!B9:B16)+4*HS!B17+HS!B40)/13</f>
        <v>7.4446037576340524E-2</v>
      </c>
      <c r="C7" s="5">
        <f>(SUM(HS!C9:C16)+4*HS!C17+HS!C40)/13</f>
        <v>0.10126470173887674</v>
      </c>
      <c r="D7" s="5">
        <f>(SUM(HS!D9:D16)+4*HS!D17+HS!D40)/13</f>
        <v>0.12898088119574178</v>
      </c>
      <c r="E7" s="5">
        <f>(SUM(HS!E9:E16)+4*HS!E17+HS!E40)/13</f>
        <v>0.15803185626651736</v>
      </c>
      <c r="F7" s="5">
        <f>(SUM(HS!F9:F16)+4*HS!F17+HS!F40)/13</f>
        <v>0.19601883925727884</v>
      </c>
      <c r="G7" s="5">
        <f>(SUM(HS!G9:G16)+4*HS!G17+HS!G40)/13</f>
        <v>0.17186785993695267</v>
      </c>
      <c r="H7" s="5">
        <f>(SUM(HS!H9:H16)+4*HS!H17+HS!H40)/13</f>
        <v>9.8376217435392543E-2</v>
      </c>
      <c r="I7" s="5">
        <f>(SUM(HS!I9:I16)+4*HS!I17+HS!I40)/13</f>
        <v>-5.2178053462651711E-2</v>
      </c>
      <c r="J7" s="5">
        <f>(SUM(HS!J9:J16)+4*HS!J17+HS!J40)/13</f>
        <v>-0.15295298487455075</v>
      </c>
      <c r="K7" s="5">
        <f>(SUM(HS!K9:K16)+4*HS!K17+HS!K40)/13</f>
        <v>-6.5680778778066204E-2</v>
      </c>
    </row>
    <row r="8" spans="1:11" ht="15.75" customHeight="1" x14ac:dyDescent="0.25">
      <c r="A8" s="5">
        <v>10</v>
      </c>
      <c r="B8" s="5">
        <f>(SUM(HS!B10:B17)+4*HS!B18+HS!B41)/13</f>
        <v>0.18249999400904487</v>
      </c>
      <c r="C8" s="5">
        <f>(SUM(HS!C10:C17)+4*HS!C18+HS!C41)/13</f>
        <v>0.20608797581394089</v>
      </c>
      <c r="D8" s="5">
        <f>(SUM(HS!D10:D17)+4*HS!D18+HS!D41)/13</f>
        <v>0.230470121897177</v>
      </c>
      <c r="E8" s="5">
        <f>(SUM(HS!E10:E17)+4*HS!E18+HS!E41)/13</f>
        <v>0.25625855450163387</v>
      </c>
      <c r="F8" s="5">
        <f>(SUM(HS!F10:F17)+4*HS!F18+HS!F41)/13</f>
        <v>0.28779508429888434</v>
      </c>
      <c r="G8" s="5">
        <f>(SUM(HS!G10:G17)+4*HS!G18+HS!G41)/13</f>
        <v>0.25690874433608657</v>
      </c>
      <c r="H8" s="5">
        <f>(SUM(HS!H10:H17)+4*HS!H18+HS!H41)/13</f>
        <v>0.19795370833197612</v>
      </c>
      <c r="I8" s="5">
        <f>(SUM(HS!I10:I17)+4*HS!I18+HS!I41)/13</f>
        <v>0.11652959106928386</v>
      </c>
      <c r="J8" s="5">
        <f>(SUM(HS!J10:J17)+4*HS!J18+HS!J41)/13</f>
        <v>2.5308523040868145E-2</v>
      </c>
      <c r="K8" s="5">
        <f>(SUM(HS!K10:K17)+4*HS!K18+HS!K41)/13</f>
        <v>8.1449707945275923E-2</v>
      </c>
    </row>
    <row r="9" spans="1:11" ht="15.75" customHeight="1" x14ac:dyDescent="0.25">
      <c r="A9" s="5">
        <v>11</v>
      </c>
      <c r="B9" s="5">
        <f>(SUM(HS!B11:B18)+4*HS!B19+HS!B42)/13</f>
        <v>0.23835074945762977</v>
      </c>
      <c r="C9" s="5">
        <f>(SUM(HS!C11:C18)+4*HS!C19+HS!C42)/13</f>
        <v>0.26032526728707961</v>
      </c>
      <c r="D9" s="5">
        <f>(SUM(HS!D11:D18)+4*HS!D19+HS!D42)/13</f>
        <v>0.28302027520898804</v>
      </c>
      <c r="E9" s="5">
        <f>(SUM(HS!E11:E18)+4*HS!E19+HS!E42)/13</f>
        <v>0.30734950895451402</v>
      </c>
      <c r="F9" s="5">
        <f>(SUM(HS!F11:F18)+4*HS!F19+HS!F42)/13</f>
        <v>0.33369004745378483</v>
      </c>
      <c r="G9" s="5">
        <f>(SUM(HS!G11:G18)+4*HS!G19+HS!G42)/13</f>
        <v>0.29214699112701309</v>
      </c>
      <c r="H9" s="5">
        <f>(SUM(HS!H11:H18)+4*HS!H19+HS!H42)/13</f>
        <v>0.22998214532399175</v>
      </c>
      <c r="I9" s="5">
        <f>(SUM(HS!I11:I18)+4*HS!I19+HS!I42)/13</f>
        <v>0.15825711845512574</v>
      </c>
      <c r="J9" s="5">
        <f>(SUM(HS!J11:J18)+4*HS!J19+HS!J42)/13</f>
        <v>0.11948223076371366</v>
      </c>
      <c r="K9" s="5">
        <f>(SUM(HS!K11:K18)+4*HS!K19+HS!K42)/13</f>
        <v>0.14300128216153019</v>
      </c>
    </row>
    <row r="10" spans="1:11" ht="15.75" customHeight="1" x14ac:dyDescent="0.25">
      <c r="A10" s="5">
        <v>12</v>
      </c>
      <c r="B10" s="5">
        <f>(SUM(HS!B12:B19)+4*HS!B20+HS!B43)/13</f>
        <v>-0.25338998596663803</v>
      </c>
      <c r="C10" s="5">
        <f>(SUM(HS!C12:C19)+4*HS!C20+HS!C43)/13</f>
        <v>-0.2336908997980866</v>
      </c>
      <c r="D10" s="5">
        <f>(SUM(HS!D12:D19)+4*HS!D20+HS!D43)/13</f>
        <v>-0.21353655324507695</v>
      </c>
      <c r="E10" s="5">
        <f>(SUM(HS!E12:E19)+4*HS!E20+HS!E43)/13</f>
        <v>-0.19327116942628339</v>
      </c>
      <c r="F10" s="5">
        <f>(SUM(HS!F12:F19)+4*HS!F20+HS!F43)/13</f>
        <v>-0.17052619990757945</v>
      </c>
      <c r="G10" s="5">
        <f>(SUM(HS!G12:G19)+4*HS!G20+HS!G43)/13</f>
        <v>-0.21284771451731427</v>
      </c>
      <c r="H10" s="5">
        <f>(SUM(HS!H12:H19)+4*HS!H20+HS!H43)/13</f>
        <v>-0.27157480502428616</v>
      </c>
      <c r="I10" s="5">
        <f>(SUM(HS!I12:I19)+4*HS!I20+HS!I43)/13</f>
        <v>-0.3400132806089356</v>
      </c>
      <c r="J10" s="5">
        <f>(SUM(HS!J12:J19)+4*HS!J20+HS!J43)/13</f>
        <v>-0.38104299284808757</v>
      </c>
      <c r="K10" s="5">
        <f>(SUM(HS!K12:K19)+4*HS!K20+HS!K43)/13</f>
        <v>-0.35054034044008009</v>
      </c>
    </row>
    <row r="11" spans="1:11" ht="15.75" customHeight="1" x14ac:dyDescent="0.25">
      <c r="A11" s="5">
        <v>13</v>
      </c>
      <c r="B11" s="5">
        <f>(SUM(HS!B13:B20)+4*HS!B21+HS!B44)/13</f>
        <v>-0.30779123771977063</v>
      </c>
      <c r="C11" s="5">
        <f>(SUM(HS!C13:C20)+4*HS!C21+HS!C44)/13</f>
        <v>-0.29121011293380095</v>
      </c>
      <c r="D11" s="5">
        <f>(SUM(HS!D13:D20)+4*HS!D21+HS!D44)/13</f>
        <v>-0.27422400639931427</v>
      </c>
      <c r="E11" s="5">
        <f>(SUM(HS!E13:E20)+4*HS!E21+HS!E44)/13</f>
        <v>-0.25733327243893911</v>
      </c>
      <c r="F11" s="5">
        <f>(SUM(HS!F13:F20)+4*HS!F21+HS!F44)/13</f>
        <v>-0.23562627561296373</v>
      </c>
      <c r="G11" s="5">
        <f>(SUM(HS!G13:G20)+4*HS!G21+HS!G44)/13</f>
        <v>-0.26907287776607752</v>
      </c>
      <c r="H11" s="5">
        <f>(SUM(HS!H13:H20)+4*HS!H21+HS!H44)/13</f>
        <v>-0.32360517609397998</v>
      </c>
      <c r="I11" s="5">
        <f>(SUM(HS!I13:I20)+4*HS!I21+HS!I44)/13</f>
        <v>-0.38715518913686875</v>
      </c>
      <c r="J11" s="5">
        <f>(SUM(HS!J13:J20)+4*HS!J21+HS!J44)/13</f>
        <v>-0.42525420764465277</v>
      </c>
      <c r="K11" s="5">
        <f>(SUM(HS!K13:K20)+4*HS!K21+HS!K44)/13</f>
        <v>-0.3969303161229315</v>
      </c>
    </row>
    <row r="12" spans="1:11" ht="15.75" customHeight="1" x14ac:dyDescent="0.25">
      <c r="A12" s="5">
        <v>14</v>
      </c>
      <c r="B12" s="5">
        <f>(SUM(HS!B14:B21)+4*HS!B22+HS!B45)/13</f>
        <v>-0.36219248947290311</v>
      </c>
      <c r="C12" s="5">
        <f>(SUM(HS!C14:C21)+4*HS!C22+HS!C45)/13</f>
        <v>-0.34872932606951529</v>
      </c>
      <c r="D12" s="5">
        <f>(SUM(HS!D14:D21)+4*HS!D22+HS!D45)/13</f>
        <v>-0.33491145955355167</v>
      </c>
      <c r="E12" s="5">
        <f>(SUM(HS!E14:E21)+4*HS!E22+HS!E45)/13</f>
        <v>-0.32139537545159491</v>
      </c>
      <c r="F12" s="5">
        <f>(SUM(HS!F14:F21)+4*HS!F22+HS!F45)/13</f>
        <v>-0.30072635131834802</v>
      </c>
      <c r="G12" s="5">
        <f>(SUM(HS!G14:G21)+4*HS!G22+HS!G45)/13</f>
        <v>-0.3212819579256434</v>
      </c>
      <c r="H12" s="5">
        <f>(SUM(HS!H14:H21)+4*HS!H22+HS!H45)/13</f>
        <v>-0.37191909208726709</v>
      </c>
      <c r="I12" s="5">
        <f>(SUM(HS!I14:I21)+4*HS!I22+HS!I45)/13</f>
        <v>-0.43092981848423528</v>
      </c>
      <c r="J12" s="5">
        <f>(SUM(HS!J14:J21)+4*HS!J22+HS!J45)/13</f>
        <v>-0.46630747852717758</v>
      </c>
      <c r="K12" s="5">
        <f>(SUM(HS!K14:K21)+4*HS!K22+HS!K45)/13</f>
        <v>-0.44000672211415065</v>
      </c>
    </row>
    <row r="13" spans="1:11" ht="15.75" customHeight="1" x14ac:dyDescent="0.25">
      <c r="A13" s="5">
        <v>15</v>
      </c>
      <c r="B13" s="5">
        <f>(SUM(HS!B15:B22)+4*HS!B23+HS!B46)/13</f>
        <v>-0.4165937412260356</v>
      </c>
      <c r="C13" s="5">
        <f>(SUM(HS!C15:C22)+4*HS!C23+HS!C46)/13</f>
        <v>-0.40624853920522963</v>
      </c>
      <c r="D13" s="5">
        <f>(SUM(HS!D15:D22)+4*HS!D23+HS!D46)/13</f>
        <v>-0.39559891270778902</v>
      </c>
      <c r="E13" s="5">
        <f>(SUM(HS!E15:E22)+4*HS!E23+HS!E46)/13</f>
        <v>-0.38545747846425066</v>
      </c>
      <c r="F13" s="5">
        <f>(SUM(HS!F15:F22)+4*HS!F23+HS!F46)/13</f>
        <v>-0.36582642702373236</v>
      </c>
      <c r="G13" s="5">
        <f>(SUM(HS!G15:G22)+4*HS!G23+HS!G46)/13</f>
        <v>-0.36976181807381175</v>
      </c>
      <c r="H13" s="5">
        <f>(SUM(HS!H15:H22)+4*HS!H23+HS!H46)/13</f>
        <v>-0.41678201408103371</v>
      </c>
      <c r="I13" s="5">
        <f>(SUM(HS!I15:I22)+4*HS!I23+HS!I46)/13</f>
        <v>-0.47157768859250421</v>
      </c>
      <c r="J13" s="5">
        <f>(SUM(HS!J15:J22)+4*HS!J23+HS!J46)/13</f>
        <v>-0.5044283729180935</v>
      </c>
      <c r="K13" s="5">
        <f>(SUM(HS!K15:K22)+4*HS!K23+HS!K46)/13</f>
        <v>-0.4800062419631399</v>
      </c>
    </row>
    <row r="14" spans="1:11" ht="15.75" customHeight="1" x14ac:dyDescent="0.25">
      <c r="A14" s="5">
        <v>16</v>
      </c>
      <c r="B14" s="5">
        <f>(SUM(HS!B16:B23)+4*HS!B24+HS!B47)/13</f>
        <v>-0.47099499297916814</v>
      </c>
      <c r="C14" s="5">
        <f>(SUM(HS!C16:C23)+4*HS!C24+HS!C47)/13</f>
        <v>-0.46376775234094403</v>
      </c>
      <c r="D14" s="5">
        <f>(SUM(HS!D16:D23)+4*HS!D24+HS!D47)/13</f>
        <v>-0.45628636586202637</v>
      </c>
      <c r="E14" s="5">
        <f>(SUM(HS!E16:E23)+4*HS!E24+HS!E47)/13</f>
        <v>-0.44951958147690646</v>
      </c>
      <c r="F14" s="5">
        <f>(SUM(HS!F16:F23)+4*HS!F24+HS!F47)/13</f>
        <v>-0.43092650272911659</v>
      </c>
      <c r="G14" s="5">
        <f>(SUM(HS!G16:G23)+4*HS!G24+HS!G47)/13</f>
        <v>-0.41477883106853947</v>
      </c>
      <c r="H14" s="5">
        <f>(SUM(HS!H16:H23)+4*HS!H24+HS!H47)/13</f>
        <v>-0.45844044164667419</v>
      </c>
      <c r="I14" s="5">
        <f>(SUM(HS!I16:I23)+4*HS!I24+HS!I47)/13</f>
        <v>-0.50932213940732529</v>
      </c>
      <c r="J14" s="5">
        <f>(SUM(HS!J16:J23)+4*HS!J24+HS!J47)/13</f>
        <v>-0.53982634628108683</v>
      </c>
      <c r="K14" s="5">
        <f>(SUM(HS!K16:K23)+4*HS!K24+HS!K47)/13</f>
        <v>-0.51714865325148707</v>
      </c>
    </row>
    <row r="15" spans="1:11" ht="15.75" customHeight="1" x14ac:dyDescent="0.25">
      <c r="A15" s="5">
        <v>17</v>
      </c>
      <c r="B15" s="5">
        <f>(SUM(HS!B17:B24)+4*HS!B25+HS!B48)/13</f>
        <v>-0.53615079392674181</v>
      </c>
      <c r="C15" s="5">
        <f>(SUM(HS!C17:C24)+4*HS!C25+HS!C48)/13</f>
        <v>-0.53167419530828441</v>
      </c>
      <c r="D15" s="5">
        <f>(SUM(HS!D17:D24)+4*HS!D25+HS!D48)/13</f>
        <v>-0.52701149100469435</v>
      </c>
      <c r="E15" s="5">
        <f>(SUM(HS!E17:E24)+4*HS!E25+HS!E48)/13</f>
        <v>-0.52298562951037375</v>
      </c>
      <c r="F15" s="5">
        <f>(SUM(HS!F17:F24)+4*HS!F25+HS!F48)/13</f>
        <v>-0.50875259201168133</v>
      </c>
      <c r="G15" s="5">
        <f>(SUM(HS!G17:G24)+4*HS!G25+HS!G48)/13</f>
        <v>-0.48348583187756294</v>
      </c>
      <c r="H15" s="5">
        <f>(SUM(HS!H17:H24)+4*HS!H25+HS!H48)/13</f>
        <v>-0.50598267464294744</v>
      </c>
      <c r="I15" s="5">
        <f>(SUM(HS!I17:I24)+4*HS!I25+HS!I48)/13</f>
        <v>-0.55369489020384699</v>
      </c>
      <c r="J15" s="5">
        <f>(SUM(HS!J17:J24)+4*HS!J25+HS!J48)/13</f>
        <v>-0.58446322059425448</v>
      </c>
      <c r="K15" s="5">
        <f>(SUM(HS!K17:K24)+4*HS!K25+HS!K48)/13</f>
        <v>-0.55729992440573806</v>
      </c>
    </row>
    <row r="16" spans="1:11" ht="15.75" customHeight="1" x14ac:dyDescent="0.25">
      <c r="A16" s="5">
        <v>18</v>
      </c>
      <c r="B16" s="5">
        <f>(SUM(HS!B18:B25)+4*HS!B26+HS!B49)/13</f>
        <v>-0.62243863255911769</v>
      </c>
      <c r="C16" s="5">
        <f>(SUM(HS!C18:C25)+4*HS!C26+HS!C49)/13</f>
        <v>-0.62000497014223144</v>
      </c>
      <c r="D16" s="5">
        <f>(SUM(HS!D18:D25)+4*HS!D26+HS!D49)/13</f>
        <v>-0.6174618323275779</v>
      </c>
      <c r="E16" s="5">
        <f>(SUM(HS!E18:E25)+4*HS!E26+HS!E49)/13</f>
        <v>-0.61525956758546418</v>
      </c>
      <c r="F16" s="5">
        <f>(SUM(HS!F18:F25)+4*HS!F26+HS!F49)/13</f>
        <v>-0.60747904709221201</v>
      </c>
      <c r="G16" s="5">
        <f>(SUM(HS!G18:G25)+4*HS!G26+HS!G49)/13</f>
        <v>-0.59114384474960546</v>
      </c>
      <c r="H16" s="5">
        <f>(SUM(HS!H18:H25)+4*HS!H26+HS!H49)/13</f>
        <v>-0.59105585530595706</v>
      </c>
      <c r="I16" s="5">
        <f>(SUM(HS!I18:I25)+4*HS!I26+HS!I49)/13</f>
        <v>-0.61652847815204459</v>
      </c>
      <c r="J16" s="5">
        <f>(SUM(HS!J18:J25)+4*HS!J26+HS!J49)/13</f>
        <v>-0.64767081799452464</v>
      </c>
      <c r="K16" s="5">
        <f>(SUM(HS!K18:K25)+4*HS!K26+HS!K49)/13</f>
        <v>-0.62651539551241575</v>
      </c>
    </row>
    <row r="17" spans="1:11" ht="15.75" customHeight="1" x14ac:dyDescent="0.25">
      <c r="A17" s="5">
        <v>19</v>
      </c>
      <c r="B17" s="5">
        <f>(SUM(HS!B19:B26)+4*HS!B27+HS!B50)/13</f>
        <v>-0.72907745456070161</v>
      </c>
      <c r="C17" s="5">
        <f>(SUM(HS!C19:C26)+4*HS!C27+HS!C50)/13</f>
        <v>-0.72803288834205937</v>
      </c>
      <c r="D17" s="5">
        <f>(SUM(HS!D19:D26)+4*HS!D27+HS!D50)/13</f>
        <v>-0.72693713423738526</v>
      </c>
      <c r="E17" s="5">
        <f>(SUM(HS!E19:E26)+4*HS!E27+HS!E50)/13</f>
        <v>-0.72599126790553226</v>
      </c>
      <c r="F17" s="5">
        <f>(SUM(HS!F19:F26)+4*HS!F27+HS!F50)/13</f>
        <v>-0.72255420661431335</v>
      </c>
      <c r="G17" s="5">
        <f>(SUM(HS!G19:G26)+4*HS!G27+HS!G50)/13</f>
        <v>-0.71544972903833093</v>
      </c>
      <c r="H17" s="5">
        <f>(SUM(HS!H19:H26)+4*HS!H27+HS!H50)/13</f>
        <v>-0.71365998363570271</v>
      </c>
      <c r="I17" s="5">
        <f>(SUM(HS!I19:I26)+4*HS!I27+HS!I50)/13</f>
        <v>-0.71557438254185846</v>
      </c>
      <c r="J17" s="5">
        <f>(SUM(HS!J19:J26)+4*HS!J27+HS!J50)/13</f>
        <v>-0.72944913848189696</v>
      </c>
      <c r="K17" s="5">
        <f>(SUM(HS!K19:K26)+4*HS!K27+HS!K50)/13</f>
        <v>-0.72479506657151993</v>
      </c>
    </row>
    <row r="18" spans="1:11" ht="15.75" customHeight="1" x14ac:dyDescent="0.25">
      <c r="A18" s="5">
        <v>20</v>
      </c>
      <c r="B18" s="5">
        <f>(SUM(HS!B20:B27)+4*HS!B28+HS!B51)/13</f>
        <v>-0.85523026803891988</v>
      </c>
      <c r="C18" s="5">
        <f>(SUM(HS!C20:C27)+4*HS!C28+HS!C51)/13</f>
        <v>-0.85497689559217305</v>
      </c>
      <c r="D18" s="5">
        <f>(SUM(HS!D20:D27)+4*HS!D28+HS!D51)/13</f>
        <v>-0.85471020823339083</v>
      </c>
      <c r="E18" s="5">
        <f>(SUM(HS!E20:E27)+4*HS!E28+HS!E51)/13</f>
        <v>-0.85448047487728607</v>
      </c>
      <c r="F18" s="5">
        <f>(SUM(HS!F20:F27)+4*HS!F28+HS!F51)/13</f>
        <v>-0.85362794278134002</v>
      </c>
      <c r="G18" s="5">
        <f>(SUM(HS!G20:G27)+4*HS!G28+HS!G51)/13</f>
        <v>-0.85185182338734444</v>
      </c>
      <c r="H18" s="5">
        <f>(SUM(HS!H20:H27)+4*HS!H28+HS!H51)/13</f>
        <v>-0.85149191898584875</v>
      </c>
      <c r="I18" s="5">
        <f>(SUM(HS!I20:I27)+4*HS!I28+HS!I51)/13</f>
        <v>-0.85083260337328892</v>
      </c>
      <c r="J18" s="5">
        <f>(SUM(HS!J20:J27)+4*HS!J28+HS!J51)/13</f>
        <v>-0.84902895128714095</v>
      </c>
      <c r="K18" s="5">
        <f>(SUM(HS!K20:K27)+4*HS!K28+HS!K51)/13</f>
        <v>-0.85213893758305104</v>
      </c>
    </row>
    <row r="19" spans="1:11" ht="15.75" customHeight="1" x14ac:dyDescent="0.25">
      <c r="A19" s="5">
        <v>21</v>
      </c>
      <c r="B19" s="5">
        <v>-1</v>
      </c>
      <c r="C19" s="5">
        <v>-1</v>
      </c>
      <c r="D19" s="5">
        <v>-1</v>
      </c>
      <c r="E19" s="5">
        <v>-1</v>
      </c>
      <c r="F19" s="5">
        <v>-1</v>
      </c>
      <c r="G19" s="5">
        <v>-1</v>
      </c>
      <c r="H19" s="5">
        <v>-1</v>
      </c>
      <c r="I19" s="5">
        <v>-1</v>
      </c>
      <c r="J19" s="5">
        <v>-1</v>
      </c>
      <c r="K19" s="5">
        <v>-1</v>
      </c>
    </row>
    <row r="20" spans="1:11" ht="12.5" x14ac:dyDescent="0.25">
      <c r="A20" s="5">
        <v>22</v>
      </c>
      <c r="B20" s="5">
        <v>-1</v>
      </c>
      <c r="C20" s="5">
        <v>-1</v>
      </c>
      <c r="D20" s="5">
        <v>-1</v>
      </c>
      <c r="E20" s="5">
        <v>-1</v>
      </c>
      <c r="F20" s="5">
        <v>-1</v>
      </c>
      <c r="G20" s="5">
        <v>-1</v>
      </c>
      <c r="H20" s="5">
        <v>-1</v>
      </c>
      <c r="I20" s="5">
        <v>-1</v>
      </c>
      <c r="J20" s="5">
        <v>-1</v>
      </c>
      <c r="K20" s="5">
        <v>-1</v>
      </c>
    </row>
    <row r="21" spans="1:11" ht="12.5" x14ac:dyDescent="0.25">
      <c r="A21" s="5">
        <v>23</v>
      </c>
      <c r="B21" s="5">
        <v>-1</v>
      </c>
      <c r="C21" s="5">
        <v>-1</v>
      </c>
      <c r="D21" s="5">
        <v>-1</v>
      </c>
      <c r="E21" s="5">
        <v>-1</v>
      </c>
      <c r="F21" s="5">
        <v>-1</v>
      </c>
      <c r="G21" s="5">
        <v>-1</v>
      </c>
      <c r="H21" s="5">
        <v>-1</v>
      </c>
      <c r="I21" s="5">
        <v>-1</v>
      </c>
      <c r="J21" s="5">
        <v>-1</v>
      </c>
      <c r="K21" s="5">
        <v>-1</v>
      </c>
    </row>
    <row r="22" spans="1:11" ht="12.5" x14ac:dyDescent="0.25">
      <c r="A22" s="5">
        <v>24</v>
      </c>
      <c r="B22" s="5">
        <v>-1</v>
      </c>
      <c r="C22" s="5">
        <v>-1</v>
      </c>
      <c r="D22" s="5">
        <v>-1</v>
      </c>
      <c r="E22" s="5">
        <v>-1</v>
      </c>
      <c r="F22" s="5">
        <v>-1</v>
      </c>
      <c r="G22" s="5">
        <v>-1</v>
      </c>
      <c r="H22" s="5">
        <v>-1</v>
      </c>
      <c r="I22" s="5">
        <v>-1</v>
      </c>
      <c r="J22" s="5">
        <v>-1</v>
      </c>
      <c r="K22" s="5">
        <v>-1</v>
      </c>
    </row>
    <row r="23" spans="1:11" ht="12.5" x14ac:dyDescent="0.25">
      <c r="A23" s="5">
        <v>25</v>
      </c>
      <c r="B23" s="5">
        <v>-1</v>
      </c>
      <c r="C23" s="5">
        <v>-1</v>
      </c>
      <c r="D23" s="5">
        <v>-1</v>
      </c>
      <c r="E23" s="5">
        <v>-1</v>
      </c>
      <c r="F23" s="5">
        <v>-1</v>
      </c>
      <c r="G23" s="5">
        <v>-1</v>
      </c>
      <c r="H23" s="5">
        <v>-1</v>
      </c>
      <c r="I23" s="5">
        <v>-1</v>
      </c>
      <c r="J23" s="5">
        <v>-1</v>
      </c>
      <c r="K23" s="5">
        <v>-1</v>
      </c>
    </row>
    <row r="24" spans="1:11" ht="12.5" x14ac:dyDescent="0.25">
      <c r="A24" s="5">
        <v>26</v>
      </c>
      <c r="B24" s="5">
        <v>-1</v>
      </c>
      <c r="C24" s="5">
        <v>-1</v>
      </c>
      <c r="D24" s="5">
        <v>-1</v>
      </c>
      <c r="E24" s="5">
        <v>-1</v>
      </c>
      <c r="F24" s="5">
        <v>-1</v>
      </c>
      <c r="G24" s="5">
        <v>-1</v>
      </c>
      <c r="H24" s="5">
        <v>-1</v>
      </c>
      <c r="I24" s="5">
        <v>-1</v>
      </c>
      <c r="J24" s="5">
        <v>-1</v>
      </c>
      <c r="K24" s="5">
        <v>-1</v>
      </c>
    </row>
    <row r="25" spans="1:11" ht="12.5" x14ac:dyDescent="0.25">
      <c r="A25" s="5">
        <v>27</v>
      </c>
      <c r="B25" s="5">
        <v>-1</v>
      </c>
      <c r="C25" s="5">
        <v>-1</v>
      </c>
      <c r="D25" s="5">
        <v>-1</v>
      </c>
      <c r="E25" s="5">
        <v>-1</v>
      </c>
      <c r="F25" s="5">
        <v>-1</v>
      </c>
      <c r="G25" s="5">
        <v>-1</v>
      </c>
      <c r="H25" s="5">
        <v>-1</v>
      </c>
      <c r="I25" s="5">
        <v>-1</v>
      </c>
      <c r="J25" s="5">
        <v>-1</v>
      </c>
      <c r="K25" s="5">
        <v>-1</v>
      </c>
    </row>
    <row r="26" spans="1:11" ht="12.5" x14ac:dyDescent="0.25">
      <c r="A26" s="5">
        <v>28</v>
      </c>
      <c r="B26" s="5">
        <v>-1</v>
      </c>
      <c r="C26" s="5">
        <v>-1</v>
      </c>
      <c r="D26" s="5">
        <v>-1</v>
      </c>
      <c r="E26" s="5">
        <v>-1</v>
      </c>
      <c r="F26" s="5">
        <v>-1</v>
      </c>
      <c r="G26" s="5">
        <v>-1</v>
      </c>
      <c r="H26" s="5">
        <v>-1</v>
      </c>
      <c r="I26" s="5">
        <v>-1</v>
      </c>
      <c r="J26" s="5">
        <v>-1</v>
      </c>
      <c r="K26" s="5">
        <v>-1</v>
      </c>
    </row>
    <row r="27" spans="1:11" ht="12.5" x14ac:dyDescent="0.25">
      <c r="A27" s="5">
        <v>29</v>
      </c>
      <c r="B27" s="5">
        <v>-1</v>
      </c>
      <c r="C27" s="5">
        <v>-1</v>
      </c>
      <c r="D27" s="5">
        <v>-1</v>
      </c>
      <c r="E27" s="5">
        <v>-1</v>
      </c>
      <c r="F27" s="5">
        <v>-1</v>
      </c>
      <c r="G27" s="5">
        <v>-1</v>
      </c>
      <c r="H27" s="5">
        <v>-1</v>
      </c>
      <c r="I27" s="5">
        <v>-1</v>
      </c>
      <c r="J27" s="5">
        <v>-1</v>
      </c>
      <c r="K27" s="5">
        <v>-1</v>
      </c>
    </row>
    <row r="28" spans="1:11" ht="12.5" x14ac:dyDescent="0.25">
      <c r="A28" s="5">
        <v>30</v>
      </c>
      <c r="B28" s="5">
        <v>-1</v>
      </c>
      <c r="C28" s="5">
        <v>-1</v>
      </c>
      <c r="D28" s="5">
        <v>-1</v>
      </c>
      <c r="E28" s="5">
        <v>-1</v>
      </c>
      <c r="F28" s="5">
        <v>-1</v>
      </c>
      <c r="G28" s="5">
        <v>-1</v>
      </c>
      <c r="H28" s="5">
        <v>-1</v>
      </c>
      <c r="I28" s="5">
        <v>-1</v>
      </c>
      <c r="J28" s="5">
        <v>-1</v>
      </c>
      <c r="K28" s="5">
        <v>-1</v>
      </c>
    </row>
    <row r="29" spans="1:11" ht="12.5" x14ac:dyDescent="0.25">
      <c r="A29" s="5">
        <v>31</v>
      </c>
      <c r="B29" s="5">
        <v>-1</v>
      </c>
      <c r="C29" s="5">
        <v>-1</v>
      </c>
      <c r="D29" s="5">
        <v>-1</v>
      </c>
      <c r="E29" s="5">
        <v>-1</v>
      </c>
      <c r="F29" s="5">
        <v>-1</v>
      </c>
      <c r="G29" s="5">
        <v>-1</v>
      </c>
      <c r="H29" s="5">
        <v>-1</v>
      </c>
      <c r="I29" s="5">
        <v>-1</v>
      </c>
      <c r="J29" s="5">
        <v>-1</v>
      </c>
      <c r="K29" s="5">
        <v>-1</v>
      </c>
    </row>
    <row r="31" spans="1:11" ht="12.5" x14ac:dyDescent="0.25">
      <c r="A31" s="5" t="s">
        <v>6</v>
      </c>
    </row>
    <row r="32" spans="1:11" ht="12.5" x14ac:dyDescent="0.25">
      <c r="A32" s="5">
        <v>12</v>
      </c>
      <c r="B32" s="5">
        <f>(SUM(HS!B33:B41)+4*HS!B42)/13</f>
        <v>8.1836216051656058E-2</v>
      </c>
      <c r="C32" s="5">
        <f>(SUM(HS!C33:C41)+4*HS!C42)/13</f>
        <v>0.10350704654207775</v>
      </c>
      <c r="D32" s="5">
        <f>(SUM(HS!D33:D41)+4*HS!D42)/13</f>
        <v>0.12659562809256977</v>
      </c>
      <c r="E32" s="5">
        <f>(SUM(HS!E33:E41)+4*HS!E42)/13</f>
        <v>0.15648238458465519</v>
      </c>
      <c r="F32" s="5">
        <f>(SUM(HS!F33:F41)+4*HS!F42)/13</f>
        <v>0.18595361333225555</v>
      </c>
      <c r="G32" s="5">
        <f>(SUM(HS!G33:G41)+4*HS!G42)/13</f>
        <v>0.16547293077063494</v>
      </c>
      <c r="H32" s="5">
        <f>(SUM(HS!H33:H41)+4*HS!H42)/13</f>
        <v>9.5115020927032307E-2</v>
      </c>
      <c r="I32" s="5">
        <f>(SUM(HS!I33:I41)+4*HS!I42)/13</f>
        <v>6.579084122688022E-5</v>
      </c>
      <c r="J32" s="5">
        <f>(SUM(HS!J33:J41)+4*HS!J42)/13</f>
        <v>-7.0002397357964638E-2</v>
      </c>
      <c r="K32" s="5">
        <f>(SUM(HS!K33:K41)+4*HS!K42)/13</f>
        <v>-2.0477877704912145E-2</v>
      </c>
    </row>
    <row r="33" spans="1:11" ht="12.5" x14ac:dyDescent="0.25">
      <c r="A33" s="5">
        <v>13</v>
      </c>
      <c r="B33" s="5">
        <f>(SUM(HS!B34:B42)+4*HS!B43)/13</f>
        <v>4.6636132695309578E-2</v>
      </c>
      <c r="C33" s="5">
        <f>(SUM(HS!C34:C42)+4*HS!C43)/13</f>
        <v>7.4118813392744051E-2</v>
      </c>
      <c r="D33" s="5">
        <f>(SUM(HS!D34:D42)+4*HS!D43)/13</f>
        <v>0.10247714687203523</v>
      </c>
      <c r="E33" s="5">
        <f>(SUM(HS!E34:E42)+4*HS!E43)/13</f>
        <v>0.13336273848321728</v>
      </c>
      <c r="F33" s="5">
        <f>(SUM(HS!F34:F42)+4*HS!F43)/13</f>
        <v>0.16169271124923698</v>
      </c>
      <c r="G33" s="5">
        <f>(SUM(HS!G34:G42)+4*HS!G43)/13</f>
        <v>0.12238569517899196</v>
      </c>
      <c r="H33" s="5">
        <f>(SUM(HS!H34:H42)+4*HS!H43)/13</f>
        <v>5.4057070196311299E-2</v>
      </c>
      <c r="I33" s="5">
        <f>(SUM(HS!I34:I42)+4*HS!I43)/13</f>
        <v>-3.7694688127479899E-2</v>
      </c>
      <c r="J33" s="5">
        <f>(SUM(HS!J34:J42)+4*HS!J43)/13</f>
        <v>-0.10485135840627777</v>
      </c>
      <c r="K33" s="5">
        <f>(SUM(HS!K34:K42)+4*HS!K43)/13</f>
        <v>-5.7308046666810254E-2</v>
      </c>
    </row>
    <row r="34" spans="1:11" ht="12.5" x14ac:dyDescent="0.25">
      <c r="A34" s="5">
        <v>14</v>
      </c>
      <c r="B34" s="5">
        <f>(SUM(HS!B35:B43)+4*HS!B44)/13</f>
        <v>2.2391856987839083E-2</v>
      </c>
      <c r="C34" s="5">
        <f>(SUM(HS!C35:C43)+4*HS!C44)/13</f>
        <v>5.0806738919282814E-2</v>
      </c>
      <c r="D34" s="5">
        <f>(SUM(HS!D35:D43)+4*HS!D44)/13</f>
        <v>8.0081414310110233E-2</v>
      </c>
      <c r="E34" s="5">
        <f>(SUM(HS!E35:E43)+4*HS!E44)/13</f>
        <v>0.11189449567473925</v>
      </c>
      <c r="F34" s="5">
        <f>(SUM(HS!F35:F43)+4*HS!F44)/13</f>
        <v>0.13916473074357688</v>
      </c>
      <c r="G34" s="5">
        <f>(SUM(HS!G35:G43)+4*HS!G44)/13</f>
        <v>7.9507488494468148E-2</v>
      </c>
      <c r="H34" s="5">
        <f>(SUM(HS!H35:H43)+4*HS!H44)/13</f>
        <v>1.3277219463208461E-2</v>
      </c>
      <c r="I34" s="5">
        <f>(SUM(HS!I35:I43)+4*HS!I44)/13</f>
        <v>-7.5163189441683848E-2</v>
      </c>
      <c r="J34" s="5">
        <f>(SUM(HS!J35:J43)+4*HS!J44)/13</f>
        <v>-0.1394667821754545</v>
      </c>
      <c r="K34" s="5">
        <f>(SUM(HS!K35:K43)+4*HS!K44)/13</f>
        <v>-9.3874324768310105E-2</v>
      </c>
    </row>
    <row r="35" spans="1:11" ht="12.5" x14ac:dyDescent="0.25">
      <c r="A35" s="5">
        <v>15</v>
      </c>
      <c r="B35" s="5">
        <f>(SUM(HS!B36:B44)+4*HS!B45)/13</f>
        <v>-1.2068474052636583E-4</v>
      </c>
      <c r="C35" s="5">
        <f>(SUM(HS!C36:C44)+4*HS!C45)/13</f>
        <v>2.9159812622497332E-2</v>
      </c>
      <c r="D35" s="5">
        <f>(SUM(HS!D36:D44)+4*HS!D45)/13</f>
        <v>5.9285376931179926E-2</v>
      </c>
      <c r="E35" s="5">
        <f>(SUM(HS!E36:E44)+4*HS!E45)/13</f>
        <v>9.1959698781152482E-2</v>
      </c>
      <c r="F35" s="5">
        <f>(SUM(HS!F36:F44)+4*HS!F45)/13</f>
        <v>0.11824589170260678</v>
      </c>
      <c r="G35" s="5">
        <f>(SUM(HS!G36:G44)+4*HS!G45)/13</f>
        <v>3.7028282279269235E-2</v>
      </c>
      <c r="H35" s="5">
        <f>(SUM(HS!H36:H44)+4*HS!H45)/13</f>
        <v>-2.7054780502901658E-2</v>
      </c>
      <c r="I35" s="5">
        <f>(SUM(HS!I36:I44)+4*HS!I45)/13</f>
        <v>-0.11218876868994292</v>
      </c>
      <c r="J35" s="5">
        <f>(SUM(HS!J36:J44)+4*HS!J45)/13</f>
        <v>-0.17370423031226784</v>
      </c>
      <c r="K35" s="5">
        <f>(SUM(HS!K36:K44)+4*HS!K45)/13</f>
        <v>-0.13002650167843849</v>
      </c>
    </row>
    <row r="36" spans="1:11" ht="12.5" x14ac:dyDescent="0.25">
      <c r="A36" s="5">
        <v>16</v>
      </c>
      <c r="B36" s="5">
        <f>(SUM(HS!B37:B45)+4*HS!B46)/13</f>
        <v>-2.1025187774008566E-2</v>
      </c>
      <c r="C36" s="5">
        <f>(SUM(HS!C37:C45)+4*HS!C46)/13</f>
        <v>9.0590953469108244E-3</v>
      </c>
      <c r="D36" s="5">
        <f>(SUM(HS!D37:D45)+4*HS!D46)/13</f>
        <v>3.9974770793601705E-2</v>
      </c>
      <c r="E36" s="5">
        <f>(SUM(HS!E37:E45)+4*HS!E46)/13</f>
        <v>7.3448815951393354E-2</v>
      </c>
      <c r="F36" s="5">
        <f>(SUM(HS!F37:F45)+4*HS!F46)/13</f>
        <v>9.8821255450277409E-2</v>
      </c>
      <c r="G36" s="5">
        <f>(SUM(HS!G37:G45)+4*HS!G46)/13</f>
        <v>-4.8901571730158942E-3</v>
      </c>
      <c r="H36" s="5">
        <f>(SUM(HS!H37:H45)+4*HS!H46)/13</f>
        <v>-6.6794847920094089E-2</v>
      </c>
      <c r="I36" s="5">
        <f>(SUM(HS!I37:I45)+4*HS!I46)/13</f>
        <v>-0.14864353463007476</v>
      </c>
      <c r="J36" s="5">
        <f>(SUM(HS!J37:J45)+4*HS!J46)/13</f>
        <v>-0.20744109003068206</v>
      </c>
      <c r="K36" s="5">
        <f>(SUM(HS!K37:K45)+4*HS!K46)/13</f>
        <v>-0.16563717206687348</v>
      </c>
    </row>
    <row r="37" spans="1:11" ht="12.5" x14ac:dyDescent="0.25">
      <c r="A37" s="5">
        <v>17</v>
      </c>
      <c r="B37" s="5">
        <f>(SUM(HS!B38:B46)+4*HS!B47)/13</f>
        <v>-4.9104358288912882E-4</v>
      </c>
      <c r="C37" s="5">
        <f>(SUM(HS!C38:C46)+4*HS!C47)/13</f>
        <v>2.8975282965620457E-2</v>
      </c>
      <c r="D37" s="5">
        <f>(SUM(HS!D38:D46)+4*HS!D47)/13</f>
        <v>5.9326275337164343E-2</v>
      </c>
      <c r="E37" s="5">
        <f>(SUM(HS!E38:E46)+4*HS!E47)/13</f>
        <v>9.1189077686774395E-2</v>
      </c>
      <c r="F37" s="5">
        <f>(SUM(HS!F38:F46)+4*HS!F47)/13</f>
        <v>0.12805214364549911</v>
      </c>
      <c r="G37" s="5">
        <f>(SUM(HS!G38:G46)+4*HS!G47)/13</f>
        <v>5.3823463716116654E-2</v>
      </c>
      <c r="H37" s="5">
        <f>(SUM(HS!H38:H46)+4*HS!H47)/13</f>
        <v>-7.2915398729642061E-2</v>
      </c>
      <c r="I37" s="5">
        <f>(SUM(HS!I38:I46)+4*HS!I47)/13</f>
        <v>-0.14978689218213329</v>
      </c>
      <c r="J37" s="5">
        <f>(SUM(HS!J38:J46)+4*HS!J47)/13</f>
        <v>-0.19686697623363469</v>
      </c>
      <c r="K37" s="5">
        <f>(SUM(HS!K38:K46)+4*HS!K47)/13</f>
        <v>-0.17956936979241733</v>
      </c>
    </row>
    <row r="38" spans="1:11" ht="12.5" x14ac:dyDescent="0.25">
      <c r="A38" s="5">
        <v>18</v>
      </c>
      <c r="B38" s="5">
        <f>(SUM(HS!B39:B47)+4*HS!B48)/13</f>
        <v>6.2905069471517722E-2</v>
      </c>
      <c r="C38" s="5">
        <f>(SUM(HS!C39:C47)+4*HS!C48)/13</f>
        <v>9.0248278565440029E-2</v>
      </c>
      <c r="D38" s="5">
        <f>(SUM(HS!D39:D47)+4*HS!D48)/13</f>
        <v>0.11850192387781083</v>
      </c>
      <c r="E38" s="5">
        <f>(SUM(HS!E39:E47)+4*HS!E48)/13</f>
        <v>0.14761274781164402</v>
      </c>
      <c r="F38" s="5">
        <f>(SUM(HS!F39:F47)+4*HS!F48)/13</f>
        <v>0.19075324103939681</v>
      </c>
      <c r="G38" s="5">
        <f>(SUM(HS!G39:G47)+4*HS!G48)/13</f>
        <v>0.17067649990517353</v>
      </c>
      <c r="H38" s="5">
        <f>(SUM(HS!H39:H47)+4*HS!H48)/13</f>
        <v>3.9677444270566534E-2</v>
      </c>
      <c r="I38" s="5">
        <f>(SUM(HS!I39:I47)+4*HS!I48)/13</f>
        <v>-0.10074430758041525</v>
      </c>
      <c r="J38" s="5">
        <f>(SUM(HS!J39:J47)+4*HS!J48)/13</f>
        <v>-0.14380812317405353</v>
      </c>
      <c r="K38" s="5">
        <f>(SUM(HS!K39:K47)+4*HS!K48)/13</f>
        <v>-9.2935491769284034E-2</v>
      </c>
    </row>
    <row r="39" spans="1:11" ht="12.5" x14ac:dyDescent="0.25">
      <c r="A39" s="5">
        <v>19</v>
      </c>
      <c r="B39" s="5">
        <f>(SUM(HS!B40:B48)+4*HS!B49)/13</f>
        <v>0.12395801957914131</v>
      </c>
      <c r="C39" s="5">
        <f>(SUM(HS!C40:C48)+4*HS!C49)/13</f>
        <v>0.14933970866308208</v>
      </c>
      <c r="D39" s="5">
        <f>(SUM(HS!D40:D48)+4*HS!D49)/13</f>
        <v>0.17557680563858266</v>
      </c>
      <c r="E39" s="5">
        <f>(SUM(HS!E40:E48)+4*HS!E49)/13</f>
        <v>0.20298603454657632</v>
      </c>
      <c r="F39" s="5">
        <f>(SUM(HS!F40:F48)+4*HS!F49)/13</f>
        <v>0.23979935436410924</v>
      </c>
      <c r="G39" s="5">
        <f>(SUM(HS!G40:G48)+4*HS!G49)/13</f>
        <v>0.2206201141552227</v>
      </c>
      <c r="H39" s="5">
        <f>(SUM(HS!H40:H48)+4*HS!H49)/13</f>
        <v>0.15227028727077518</v>
      </c>
      <c r="I39" s="5">
        <f>(SUM(HS!I40:I48)+4*HS!I49)/13</f>
        <v>7.8926417444343221E-3</v>
      </c>
      <c r="J39" s="5">
        <f>(SUM(HS!J40:J48)+4*HS!J49)/13</f>
        <v>-8.8095953912746522E-2</v>
      </c>
      <c r="K39" s="5">
        <f>(SUM(HS!K40:K48)+4*HS!K49)/13</f>
        <v>-5.7428919120040816E-3</v>
      </c>
    </row>
    <row r="40" spans="1:11" ht="12.5" x14ac:dyDescent="0.25">
      <c r="A40" s="5">
        <v>20</v>
      </c>
      <c r="B40" s="5">
        <f>(SUM(HS!B41:B49)+4*HS!B50)/13</f>
        <v>0.18249999400904487</v>
      </c>
      <c r="C40" s="5">
        <f>(SUM(HS!C41:C49)+4*HS!C50)/13</f>
        <v>0.20608797581394089</v>
      </c>
      <c r="D40" s="5">
        <f>(SUM(HS!D41:D49)+4*HS!D50)/13</f>
        <v>0.230470121897177</v>
      </c>
      <c r="E40" s="5">
        <f>(SUM(HS!E41:E49)+4*HS!E50)/13</f>
        <v>0.25625855450163387</v>
      </c>
      <c r="F40" s="5">
        <f>(SUM(HS!F41:F49)+4*HS!F50)/13</f>
        <v>0.28779508429888434</v>
      </c>
      <c r="G40" s="5">
        <f>(SUM(HS!G41:G49)+4*HS!G50)/13</f>
        <v>0.25690874433608657</v>
      </c>
      <c r="H40" s="5">
        <f>(SUM(HS!H41:H49)+4*HS!H50)/13</f>
        <v>0.19795370833197609</v>
      </c>
      <c r="I40" s="5">
        <f>(SUM(HS!I41:I49)+4*HS!I50)/13</f>
        <v>0.11652959106928386</v>
      </c>
      <c r="J40" s="5">
        <f>(SUM(HS!J41:J49)+4*HS!J50)/13</f>
        <v>2.5308523040868176E-2</v>
      </c>
      <c r="K40" s="5">
        <f>(SUM(HS!K41:K49)+4*HS!K50)/13</f>
        <v>8.1449707945275895E-2</v>
      </c>
    </row>
    <row r="41" spans="1:11" ht="12.5" x14ac:dyDescent="0.25">
      <c r="A41" s="5">
        <v>21</v>
      </c>
      <c r="B41" s="5">
        <f>(SUM(HS!B42:B50)+4*HS!B51)/13</f>
        <v>0.2383507494576298</v>
      </c>
      <c r="C41" s="5">
        <f>(SUM(HS!C42:C50)+4*HS!C51)/13</f>
        <v>0.26032526728707961</v>
      </c>
      <c r="D41" s="5">
        <f>(SUM(HS!D42:D50)+4*HS!D51)/13</f>
        <v>0.28302027520898798</v>
      </c>
      <c r="E41" s="5">
        <f>(SUM(HS!E42:E50)+4*HS!E51)/13</f>
        <v>0.30734950895451402</v>
      </c>
      <c r="F41" s="5">
        <f>(SUM(HS!F42:F50)+4*HS!F51)/13</f>
        <v>0.33369004745378478</v>
      </c>
      <c r="G41" s="5">
        <f>(SUM(HS!G42:G50)+4*HS!G51)/13</f>
        <v>0.29214699112701309</v>
      </c>
      <c r="H41" s="5">
        <f>(SUM(HS!H42:H50)+4*HS!H51)/13</f>
        <v>0.22998214532399175</v>
      </c>
      <c r="I41" s="5">
        <f>(SUM(HS!I42:I50)+4*HS!I51)/13</f>
        <v>0.15825711845512572</v>
      </c>
      <c r="J41" s="5">
        <f>(SUM(HS!J42:J50)+4*HS!J51)/13</f>
        <v>0.11948223076371363</v>
      </c>
      <c r="K41" s="5">
        <f>(SUM(HS!K42:K50)+4*HS!K51)/13</f>
        <v>0.14300128216153027</v>
      </c>
    </row>
    <row r="42" spans="1:11" ht="12.5" x14ac:dyDescent="0.25">
      <c r="A42" s="5">
        <v>22</v>
      </c>
      <c r="B42" s="5">
        <f t="shared" ref="B42:K42" si="0">B10</f>
        <v>-0.25338998596663803</v>
      </c>
      <c r="C42" s="5">
        <f t="shared" si="0"/>
        <v>-0.2336908997980866</v>
      </c>
      <c r="D42" s="5">
        <f t="shared" si="0"/>
        <v>-0.21353655324507695</v>
      </c>
      <c r="E42" s="5">
        <f t="shared" si="0"/>
        <v>-0.19327116942628339</v>
      </c>
      <c r="F42" s="5">
        <f t="shared" si="0"/>
        <v>-0.17052619990757945</v>
      </c>
      <c r="G42" s="5">
        <f t="shared" si="0"/>
        <v>-0.21284771451731427</v>
      </c>
      <c r="H42" s="5">
        <f t="shared" si="0"/>
        <v>-0.27157480502428616</v>
      </c>
      <c r="I42" s="5">
        <f t="shared" si="0"/>
        <v>-0.3400132806089356</v>
      </c>
      <c r="J42" s="5">
        <f t="shared" si="0"/>
        <v>-0.38104299284808757</v>
      </c>
      <c r="K42" s="5">
        <f t="shared" si="0"/>
        <v>-0.35054034044008009</v>
      </c>
    </row>
    <row r="43" spans="1:11" ht="12.5" x14ac:dyDescent="0.25">
      <c r="A43" s="5">
        <v>23</v>
      </c>
      <c r="B43" s="5">
        <f t="shared" ref="B43:K43" si="1">B11</f>
        <v>-0.30779123771977063</v>
      </c>
      <c r="C43" s="5">
        <f t="shared" si="1"/>
        <v>-0.29121011293380095</v>
      </c>
      <c r="D43" s="5">
        <f t="shared" si="1"/>
        <v>-0.27422400639931427</v>
      </c>
      <c r="E43" s="5">
        <f t="shared" si="1"/>
        <v>-0.25733327243893911</v>
      </c>
      <c r="F43" s="5">
        <f t="shared" si="1"/>
        <v>-0.23562627561296373</v>
      </c>
      <c r="G43" s="5">
        <f t="shared" si="1"/>
        <v>-0.26907287776607752</v>
      </c>
      <c r="H43" s="5">
        <f t="shared" si="1"/>
        <v>-0.32360517609397998</v>
      </c>
      <c r="I43" s="5">
        <f t="shared" si="1"/>
        <v>-0.38715518913686875</v>
      </c>
      <c r="J43" s="5">
        <f t="shared" si="1"/>
        <v>-0.42525420764465277</v>
      </c>
      <c r="K43" s="5">
        <f t="shared" si="1"/>
        <v>-0.3969303161229315</v>
      </c>
    </row>
    <row r="44" spans="1:11" ht="12.5" x14ac:dyDescent="0.25">
      <c r="A44" s="5">
        <v>24</v>
      </c>
      <c r="B44" s="5">
        <f t="shared" ref="B44:K44" si="2">B12</f>
        <v>-0.36219248947290311</v>
      </c>
      <c r="C44" s="5">
        <f t="shared" si="2"/>
        <v>-0.34872932606951529</v>
      </c>
      <c r="D44" s="5">
        <f t="shared" si="2"/>
        <v>-0.33491145955355167</v>
      </c>
      <c r="E44" s="5">
        <f t="shared" si="2"/>
        <v>-0.32139537545159491</v>
      </c>
      <c r="F44" s="5">
        <f t="shared" si="2"/>
        <v>-0.30072635131834802</v>
      </c>
      <c r="G44" s="5">
        <f t="shared" si="2"/>
        <v>-0.3212819579256434</v>
      </c>
      <c r="H44" s="5">
        <f t="shared" si="2"/>
        <v>-0.37191909208726709</v>
      </c>
      <c r="I44" s="5">
        <f t="shared" si="2"/>
        <v>-0.43092981848423528</v>
      </c>
      <c r="J44" s="5">
        <f t="shared" si="2"/>
        <v>-0.46630747852717758</v>
      </c>
      <c r="K44" s="5">
        <f t="shared" si="2"/>
        <v>-0.44000672211415065</v>
      </c>
    </row>
    <row r="45" spans="1:11" ht="12.5" x14ac:dyDescent="0.25">
      <c r="A45" s="5">
        <v>25</v>
      </c>
      <c r="B45" s="5">
        <f t="shared" ref="B45:K45" si="3">B13</f>
        <v>-0.4165937412260356</v>
      </c>
      <c r="C45" s="5">
        <f t="shared" si="3"/>
        <v>-0.40624853920522963</v>
      </c>
      <c r="D45" s="5">
        <f t="shared" si="3"/>
        <v>-0.39559891270778902</v>
      </c>
      <c r="E45" s="5">
        <f t="shared" si="3"/>
        <v>-0.38545747846425066</v>
      </c>
      <c r="F45" s="5">
        <f t="shared" si="3"/>
        <v>-0.36582642702373236</v>
      </c>
      <c r="G45" s="5">
        <f t="shared" si="3"/>
        <v>-0.36976181807381175</v>
      </c>
      <c r="H45" s="5">
        <f t="shared" si="3"/>
        <v>-0.41678201408103371</v>
      </c>
      <c r="I45" s="5">
        <f t="shared" si="3"/>
        <v>-0.47157768859250421</v>
      </c>
      <c r="J45" s="5">
        <f t="shared" si="3"/>
        <v>-0.5044283729180935</v>
      </c>
      <c r="K45" s="5">
        <f t="shared" si="3"/>
        <v>-0.4800062419631399</v>
      </c>
    </row>
    <row r="46" spans="1:11" ht="12.5" x14ac:dyDescent="0.25">
      <c r="A46" s="5">
        <v>26</v>
      </c>
      <c r="B46" s="5">
        <f t="shared" ref="B46:K46" si="4">B14</f>
        <v>-0.47099499297916814</v>
      </c>
      <c r="C46" s="5">
        <f t="shared" si="4"/>
        <v>-0.46376775234094403</v>
      </c>
      <c r="D46" s="5">
        <f t="shared" si="4"/>
        <v>-0.45628636586202637</v>
      </c>
      <c r="E46" s="5">
        <f t="shared" si="4"/>
        <v>-0.44951958147690646</v>
      </c>
      <c r="F46" s="5">
        <f t="shared" si="4"/>
        <v>-0.43092650272911659</v>
      </c>
      <c r="G46" s="5">
        <f t="shared" si="4"/>
        <v>-0.41477883106853947</v>
      </c>
      <c r="H46" s="5">
        <f t="shared" si="4"/>
        <v>-0.45844044164667419</v>
      </c>
      <c r="I46" s="5">
        <f t="shared" si="4"/>
        <v>-0.50932213940732529</v>
      </c>
      <c r="J46" s="5">
        <f t="shared" si="4"/>
        <v>-0.53982634628108683</v>
      </c>
      <c r="K46" s="5">
        <f t="shared" si="4"/>
        <v>-0.51714865325148707</v>
      </c>
    </row>
    <row r="47" spans="1:11" ht="12.5" x14ac:dyDescent="0.25">
      <c r="A47" s="5">
        <v>27</v>
      </c>
      <c r="B47" s="5">
        <f t="shared" ref="B47:K47" si="5">B15</f>
        <v>-0.53615079392674181</v>
      </c>
      <c r="C47" s="5">
        <f t="shared" si="5"/>
        <v>-0.53167419530828441</v>
      </c>
      <c r="D47" s="5">
        <f t="shared" si="5"/>
        <v>-0.52701149100469435</v>
      </c>
      <c r="E47" s="5">
        <f t="shared" si="5"/>
        <v>-0.52298562951037375</v>
      </c>
      <c r="F47" s="5">
        <f t="shared" si="5"/>
        <v>-0.50875259201168133</v>
      </c>
      <c r="G47" s="5">
        <f t="shared" si="5"/>
        <v>-0.48348583187756294</v>
      </c>
      <c r="H47" s="5">
        <f t="shared" si="5"/>
        <v>-0.50598267464294744</v>
      </c>
      <c r="I47" s="5">
        <f t="shared" si="5"/>
        <v>-0.55369489020384699</v>
      </c>
      <c r="J47" s="5">
        <f t="shared" si="5"/>
        <v>-0.58446322059425448</v>
      </c>
      <c r="K47" s="5">
        <f t="shared" si="5"/>
        <v>-0.55729992440573806</v>
      </c>
    </row>
    <row r="48" spans="1:11" ht="12.5" x14ac:dyDescent="0.25">
      <c r="A48" s="5">
        <v>28</v>
      </c>
      <c r="B48" s="5">
        <f t="shared" ref="B48:K48" si="6">B16</f>
        <v>-0.62243863255911769</v>
      </c>
      <c r="C48" s="5">
        <f t="shared" si="6"/>
        <v>-0.62000497014223144</v>
      </c>
      <c r="D48" s="5">
        <f t="shared" si="6"/>
        <v>-0.6174618323275779</v>
      </c>
      <c r="E48" s="5">
        <f t="shared" si="6"/>
        <v>-0.61525956758546418</v>
      </c>
      <c r="F48" s="5">
        <f t="shared" si="6"/>
        <v>-0.60747904709221201</v>
      </c>
      <c r="G48" s="5">
        <f t="shared" si="6"/>
        <v>-0.59114384474960546</v>
      </c>
      <c r="H48" s="5">
        <f t="shared" si="6"/>
        <v>-0.59105585530595706</v>
      </c>
      <c r="I48" s="5">
        <f t="shared" si="6"/>
        <v>-0.61652847815204459</v>
      </c>
      <c r="J48" s="5">
        <f t="shared" si="6"/>
        <v>-0.64767081799452464</v>
      </c>
      <c r="K48" s="5">
        <f t="shared" si="6"/>
        <v>-0.62651539551241575</v>
      </c>
    </row>
    <row r="49" spans="1:11" ht="12.5" x14ac:dyDescent="0.25">
      <c r="A49" s="5">
        <v>29</v>
      </c>
      <c r="B49" s="5">
        <f t="shared" ref="B49:K49" si="7">B17</f>
        <v>-0.72907745456070161</v>
      </c>
      <c r="C49" s="5">
        <f t="shared" si="7"/>
        <v>-0.72803288834205937</v>
      </c>
      <c r="D49" s="5">
        <f t="shared" si="7"/>
        <v>-0.72693713423738526</v>
      </c>
      <c r="E49" s="5">
        <f t="shared" si="7"/>
        <v>-0.72599126790553226</v>
      </c>
      <c r="F49" s="5">
        <f t="shared" si="7"/>
        <v>-0.72255420661431335</v>
      </c>
      <c r="G49" s="5">
        <f t="shared" si="7"/>
        <v>-0.71544972903833093</v>
      </c>
      <c r="H49" s="5">
        <f t="shared" si="7"/>
        <v>-0.71365998363570271</v>
      </c>
      <c r="I49" s="5">
        <f t="shared" si="7"/>
        <v>-0.71557438254185846</v>
      </c>
      <c r="J49" s="5">
        <f t="shared" si="7"/>
        <v>-0.72944913848189696</v>
      </c>
      <c r="K49" s="5">
        <f t="shared" si="7"/>
        <v>-0.72479506657151993</v>
      </c>
    </row>
    <row r="50" spans="1:11" ht="12.5" x14ac:dyDescent="0.25">
      <c r="A50" s="5">
        <v>30</v>
      </c>
      <c r="B50" s="5">
        <f t="shared" ref="B50:K50" si="8">B18</f>
        <v>-0.85523026803891988</v>
      </c>
      <c r="C50" s="5">
        <f t="shared" si="8"/>
        <v>-0.85497689559217305</v>
      </c>
      <c r="D50" s="5">
        <f t="shared" si="8"/>
        <v>-0.85471020823339083</v>
      </c>
      <c r="E50" s="5">
        <f t="shared" si="8"/>
        <v>-0.85448047487728607</v>
      </c>
      <c r="F50" s="5">
        <f t="shared" si="8"/>
        <v>-0.85362794278134002</v>
      </c>
      <c r="G50" s="5">
        <f t="shared" si="8"/>
        <v>-0.85185182338734444</v>
      </c>
      <c r="H50" s="5">
        <f t="shared" si="8"/>
        <v>-0.85149191898584875</v>
      </c>
      <c r="I50" s="5">
        <f t="shared" si="8"/>
        <v>-0.85083260337328892</v>
      </c>
      <c r="J50" s="5">
        <f t="shared" si="8"/>
        <v>-0.84902895128714095</v>
      </c>
      <c r="K50" s="5">
        <f t="shared" si="8"/>
        <v>-0.85213893758305104</v>
      </c>
    </row>
    <row r="51" spans="1:11" ht="12.5" x14ac:dyDescent="0.25">
      <c r="A51" s="5">
        <v>31</v>
      </c>
      <c r="B51" s="5">
        <f t="shared" ref="B51:K51" si="9">B19</f>
        <v>-1</v>
      </c>
      <c r="C51" s="5">
        <f t="shared" si="9"/>
        <v>-1</v>
      </c>
      <c r="D51" s="5">
        <f t="shared" si="9"/>
        <v>-1</v>
      </c>
      <c r="E51" s="5">
        <f t="shared" si="9"/>
        <v>-1</v>
      </c>
      <c r="F51" s="5">
        <f t="shared" si="9"/>
        <v>-1</v>
      </c>
      <c r="G51" s="5">
        <f t="shared" si="9"/>
        <v>-1</v>
      </c>
      <c r="H51" s="5">
        <f t="shared" si="9"/>
        <v>-1</v>
      </c>
      <c r="I51" s="5">
        <f t="shared" si="9"/>
        <v>-1</v>
      </c>
      <c r="J51" s="5">
        <f t="shared" si="9"/>
        <v>-1</v>
      </c>
      <c r="K51" s="5">
        <f t="shared" si="9"/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51"/>
  <sheetViews>
    <sheetView workbookViewId="0"/>
  </sheetViews>
  <sheetFormatPr defaultColWidth="12.6328125" defaultRowHeight="15.75" customHeight="1" x14ac:dyDescent="0.25"/>
  <sheetData>
    <row r="1" spans="1:11" ht="15.75" customHeight="1" x14ac:dyDescent="0.25">
      <c r="A1" s="5" t="s">
        <v>1</v>
      </c>
      <c r="B1" s="5">
        <v>2</v>
      </c>
      <c r="C1" s="5">
        <v>3</v>
      </c>
      <c r="D1" s="5">
        <v>4</v>
      </c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 t="s">
        <v>2</v>
      </c>
    </row>
    <row r="2" spans="1:11" ht="15.75" customHeight="1" x14ac:dyDescent="0.25">
      <c r="A2" s="5">
        <v>4</v>
      </c>
      <c r="B2" s="5">
        <f>Dealer!B2-SUM(Dealer!B3:B7)</f>
        <v>-0.29278372720927726</v>
      </c>
      <c r="C2" s="5">
        <f>Dealer!C2-SUM(Dealer!C3:C7)</f>
        <v>-0.2522502292357135</v>
      </c>
      <c r="D2" s="5">
        <f>Dealer!D2-SUM(Dealer!D3:D7)</f>
        <v>-0.21106310899491437</v>
      </c>
      <c r="E2" s="5">
        <f>Dealer!E2-SUM(Dealer!E3:E7)</f>
        <v>-0.16719266083547524</v>
      </c>
      <c r="F2" s="5">
        <f>Dealer!F2-SUM(Dealer!F3:F7)</f>
        <v>-0.15369901583000439</v>
      </c>
      <c r="G2" s="5">
        <f>Dealer!G2-SUM(Dealer!G3:G7)</f>
        <v>-0.47537518327693318</v>
      </c>
      <c r="H2" s="5">
        <f>Dealer!H2-SUM(Dealer!H3:H7)</f>
        <v>-0.51051751549761715</v>
      </c>
      <c r="I2" s="5">
        <f>Dealer!I2-SUM(Dealer!I3:I7)</f>
        <v>-0.54314968113110951</v>
      </c>
      <c r="J2" s="5">
        <f>Dealer!J2-SUM(Dealer!J3:J7)</f>
        <v>-0.54043033399498497</v>
      </c>
      <c r="K2" s="5">
        <f>Dealer!K2-SUM(Dealer!K3:K7)</f>
        <v>-0.66695077468551034</v>
      </c>
    </row>
    <row r="3" spans="1:11" ht="15.75" customHeight="1" x14ac:dyDescent="0.25">
      <c r="A3" s="5">
        <v>5</v>
      </c>
      <c r="B3" s="5">
        <f t="shared" ref="B3:K3" si="0">B2</f>
        <v>-0.29278372720927726</v>
      </c>
      <c r="C3" s="5">
        <f t="shared" si="0"/>
        <v>-0.2522502292357135</v>
      </c>
      <c r="D3" s="5">
        <f t="shared" si="0"/>
        <v>-0.21106310899491437</v>
      </c>
      <c r="E3" s="5">
        <f t="shared" si="0"/>
        <v>-0.16719266083547524</v>
      </c>
      <c r="F3" s="5">
        <f t="shared" si="0"/>
        <v>-0.15369901583000439</v>
      </c>
      <c r="G3" s="5">
        <f t="shared" si="0"/>
        <v>-0.47537518327693318</v>
      </c>
      <c r="H3" s="5">
        <f t="shared" si="0"/>
        <v>-0.51051751549761715</v>
      </c>
      <c r="I3" s="5">
        <f t="shared" si="0"/>
        <v>-0.54314968113110951</v>
      </c>
      <c r="J3" s="5">
        <f t="shared" si="0"/>
        <v>-0.54043033399498497</v>
      </c>
      <c r="K3" s="5">
        <f t="shared" si="0"/>
        <v>-0.66695077468551034</v>
      </c>
    </row>
    <row r="4" spans="1:11" ht="15.75" customHeight="1" x14ac:dyDescent="0.25">
      <c r="A4" s="5">
        <v>6</v>
      </c>
      <c r="B4" s="5">
        <f t="shared" ref="B4:K4" si="1">B3</f>
        <v>-0.29278372720927726</v>
      </c>
      <c r="C4" s="5">
        <f t="shared" si="1"/>
        <v>-0.2522502292357135</v>
      </c>
      <c r="D4" s="5">
        <f t="shared" si="1"/>
        <v>-0.21106310899491437</v>
      </c>
      <c r="E4" s="5">
        <f t="shared" si="1"/>
        <v>-0.16719266083547524</v>
      </c>
      <c r="F4" s="5">
        <f t="shared" si="1"/>
        <v>-0.15369901583000439</v>
      </c>
      <c r="G4" s="5">
        <f t="shared" si="1"/>
        <v>-0.47537518327693318</v>
      </c>
      <c r="H4" s="5">
        <f t="shared" si="1"/>
        <v>-0.51051751549761715</v>
      </c>
      <c r="I4" s="5">
        <f t="shared" si="1"/>
        <v>-0.54314968113110951</v>
      </c>
      <c r="J4" s="5">
        <f t="shared" si="1"/>
        <v>-0.54043033399498497</v>
      </c>
      <c r="K4" s="5">
        <f t="shared" si="1"/>
        <v>-0.66695077468551034</v>
      </c>
    </row>
    <row r="5" spans="1:11" ht="15.75" customHeight="1" x14ac:dyDescent="0.25">
      <c r="A5" s="5">
        <v>7</v>
      </c>
      <c r="B5" s="5">
        <f t="shared" ref="B5:K5" si="2">B4</f>
        <v>-0.29278372720927726</v>
      </c>
      <c r="C5" s="5">
        <f t="shared" si="2"/>
        <v>-0.2522502292357135</v>
      </c>
      <c r="D5" s="5">
        <f t="shared" si="2"/>
        <v>-0.21106310899491437</v>
      </c>
      <c r="E5" s="5">
        <f t="shared" si="2"/>
        <v>-0.16719266083547524</v>
      </c>
      <c r="F5" s="5">
        <f t="shared" si="2"/>
        <v>-0.15369901583000439</v>
      </c>
      <c r="G5" s="5">
        <f t="shared" si="2"/>
        <v>-0.47537518327693318</v>
      </c>
      <c r="H5" s="5">
        <f t="shared" si="2"/>
        <v>-0.51051751549761715</v>
      </c>
      <c r="I5" s="5">
        <f t="shared" si="2"/>
        <v>-0.54314968113110951</v>
      </c>
      <c r="J5" s="5">
        <f t="shared" si="2"/>
        <v>-0.54043033399498497</v>
      </c>
      <c r="K5" s="5">
        <f t="shared" si="2"/>
        <v>-0.66695077468551034</v>
      </c>
    </row>
    <row r="6" spans="1:11" ht="15.75" customHeight="1" x14ac:dyDescent="0.25">
      <c r="A6" s="5">
        <v>8</v>
      </c>
      <c r="B6" s="5">
        <f t="shared" ref="B6:K6" si="3">B5</f>
        <v>-0.29278372720927726</v>
      </c>
      <c r="C6" s="5">
        <f t="shared" si="3"/>
        <v>-0.2522502292357135</v>
      </c>
      <c r="D6" s="5">
        <f t="shared" si="3"/>
        <v>-0.21106310899491437</v>
      </c>
      <c r="E6" s="5">
        <f t="shared" si="3"/>
        <v>-0.16719266083547524</v>
      </c>
      <c r="F6" s="5">
        <f t="shared" si="3"/>
        <v>-0.15369901583000439</v>
      </c>
      <c r="G6" s="5">
        <f t="shared" si="3"/>
        <v>-0.47537518327693318</v>
      </c>
      <c r="H6" s="5">
        <f t="shared" si="3"/>
        <v>-0.51051751549761715</v>
      </c>
      <c r="I6" s="5">
        <f t="shared" si="3"/>
        <v>-0.54314968113110951</v>
      </c>
      <c r="J6" s="5">
        <f t="shared" si="3"/>
        <v>-0.54043033399498497</v>
      </c>
      <c r="K6" s="5">
        <f t="shared" si="3"/>
        <v>-0.66695077468551034</v>
      </c>
    </row>
    <row r="7" spans="1:11" ht="15.75" customHeight="1" x14ac:dyDescent="0.25">
      <c r="A7" s="5">
        <v>9</v>
      </c>
      <c r="B7" s="5">
        <f t="shared" ref="B7:K7" si="4">B6</f>
        <v>-0.29278372720927726</v>
      </c>
      <c r="C7" s="5">
        <f t="shared" si="4"/>
        <v>-0.2522502292357135</v>
      </c>
      <c r="D7" s="5">
        <f t="shared" si="4"/>
        <v>-0.21106310899491437</v>
      </c>
      <c r="E7" s="5">
        <f t="shared" si="4"/>
        <v>-0.16719266083547524</v>
      </c>
      <c r="F7" s="5">
        <f t="shared" si="4"/>
        <v>-0.15369901583000439</v>
      </c>
      <c r="G7" s="5">
        <f t="shared" si="4"/>
        <v>-0.47537518327693318</v>
      </c>
      <c r="H7" s="5">
        <f t="shared" si="4"/>
        <v>-0.51051751549761715</v>
      </c>
      <c r="I7" s="5">
        <f t="shared" si="4"/>
        <v>-0.54314968113110951</v>
      </c>
      <c r="J7" s="5">
        <f t="shared" si="4"/>
        <v>-0.54043033399498497</v>
      </c>
      <c r="K7" s="5">
        <f t="shared" si="4"/>
        <v>-0.66695077468551034</v>
      </c>
    </row>
    <row r="8" spans="1:11" ht="15.75" customHeight="1" x14ac:dyDescent="0.25">
      <c r="A8" s="5">
        <v>10</v>
      </c>
      <c r="B8" s="5">
        <f t="shared" ref="B8:K8" si="5">B7</f>
        <v>-0.29278372720927726</v>
      </c>
      <c r="C8" s="5">
        <f t="shared" si="5"/>
        <v>-0.2522502292357135</v>
      </c>
      <c r="D8" s="5">
        <f t="shared" si="5"/>
        <v>-0.21106310899491437</v>
      </c>
      <c r="E8" s="5">
        <f t="shared" si="5"/>
        <v>-0.16719266083547524</v>
      </c>
      <c r="F8" s="5">
        <f t="shared" si="5"/>
        <v>-0.15369901583000439</v>
      </c>
      <c r="G8" s="5">
        <f t="shared" si="5"/>
        <v>-0.47537518327693318</v>
      </c>
      <c r="H8" s="5">
        <f t="shared" si="5"/>
        <v>-0.51051751549761715</v>
      </c>
      <c r="I8" s="5">
        <f t="shared" si="5"/>
        <v>-0.54314968113110951</v>
      </c>
      <c r="J8" s="5">
        <f t="shared" si="5"/>
        <v>-0.54043033399498497</v>
      </c>
      <c r="K8" s="5">
        <f t="shared" si="5"/>
        <v>-0.66695077468551034</v>
      </c>
    </row>
    <row r="9" spans="1:11" ht="15.75" customHeight="1" x14ac:dyDescent="0.25">
      <c r="A9" s="5">
        <v>11</v>
      </c>
      <c r="B9" s="5">
        <f t="shared" ref="B9:K9" si="6">B8</f>
        <v>-0.29278372720927726</v>
      </c>
      <c r="C9" s="5">
        <f t="shared" si="6"/>
        <v>-0.2522502292357135</v>
      </c>
      <c r="D9" s="5">
        <f t="shared" si="6"/>
        <v>-0.21106310899491437</v>
      </c>
      <c r="E9" s="5">
        <f t="shared" si="6"/>
        <v>-0.16719266083547524</v>
      </c>
      <c r="F9" s="5">
        <f t="shared" si="6"/>
        <v>-0.15369901583000439</v>
      </c>
      <c r="G9" s="5">
        <f t="shared" si="6"/>
        <v>-0.47537518327693318</v>
      </c>
      <c r="H9" s="5">
        <f t="shared" si="6"/>
        <v>-0.51051751549761715</v>
      </c>
      <c r="I9" s="5">
        <f t="shared" si="6"/>
        <v>-0.54314968113110951</v>
      </c>
      <c r="J9" s="5">
        <f t="shared" si="6"/>
        <v>-0.54043033399498497</v>
      </c>
      <c r="K9" s="5">
        <f t="shared" si="6"/>
        <v>-0.66695077468551034</v>
      </c>
    </row>
    <row r="10" spans="1:11" ht="15.75" customHeight="1" x14ac:dyDescent="0.25">
      <c r="A10" s="5">
        <v>12</v>
      </c>
      <c r="B10" s="5">
        <f t="shared" ref="B10:K10" si="7">B9</f>
        <v>-0.29278372720927726</v>
      </c>
      <c r="C10" s="5">
        <f t="shared" si="7"/>
        <v>-0.2522502292357135</v>
      </c>
      <c r="D10" s="5">
        <f t="shared" si="7"/>
        <v>-0.21106310899491437</v>
      </c>
      <c r="E10" s="5">
        <f t="shared" si="7"/>
        <v>-0.16719266083547524</v>
      </c>
      <c r="F10" s="5">
        <f t="shared" si="7"/>
        <v>-0.15369901583000439</v>
      </c>
      <c r="G10" s="5">
        <f t="shared" si="7"/>
        <v>-0.47537518327693318</v>
      </c>
      <c r="H10" s="5">
        <f t="shared" si="7"/>
        <v>-0.51051751549761715</v>
      </c>
      <c r="I10" s="5">
        <f t="shared" si="7"/>
        <v>-0.54314968113110951</v>
      </c>
      <c r="J10" s="5">
        <f t="shared" si="7"/>
        <v>-0.54043033399498497</v>
      </c>
      <c r="K10" s="5">
        <f t="shared" si="7"/>
        <v>-0.66695077468551034</v>
      </c>
    </row>
    <row r="11" spans="1:11" ht="15.75" customHeight="1" x14ac:dyDescent="0.25">
      <c r="A11" s="5">
        <v>13</v>
      </c>
      <c r="B11" s="5">
        <f t="shared" ref="B11:K11" si="8">B10</f>
        <v>-0.29278372720927726</v>
      </c>
      <c r="C11" s="5">
        <f t="shared" si="8"/>
        <v>-0.2522502292357135</v>
      </c>
      <c r="D11" s="5">
        <f t="shared" si="8"/>
        <v>-0.21106310899491437</v>
      </c>
      <c r="E11" s="5">
        <f t="shared" si="8"/>
        <v>-0.16719266083547524</v>
      </c>
      <c r="F11" s="5">
        <f t="shared" si="8"/>
        <v>-0.15369901583000439</v>
      </c>
      <c r="G11" s="5">
        <f t="shared" si="8"/>
        <v>-0.47537518327693318</v>
      </c>
      <c r="H11" s="5">
        <f t="shared" si="8"/>
        <v>-0.51051751549761715</v>
      </c>
      <c r="I11" s="5">
        <f t="shared" si="8"/>
        <v>-0.54314968113110951</v>
      </c>
      <c r="J11" s="5">
        <f t="shared" si="8"/>
        <v>-0.54043033399498497</v>
      </c>
      <c r="K11" s="5">
        <f t="shared" si="8"/>
        <v>-0.66695077468551034</v>
      </c>
    </row>
    <row r="12" spans="1:11" ht="15.75" customHeight="1" x14ac:dyDescent="0.25">
      <c r="A12" s="5">
        <v>14</v>
      </c>
      <c r="B12" s="5">
        <f t="shared" ref="B12:K12" si="9">B11</f>
        <v>-0.29278372720927726</v>
      </c>
      <c r="C12" s="5">
        <f t="shared" si="9"/>
        <v>-0.2522502292357135</v>
      </c>
      <c r="D12" s="5">
        <f t="shared" si="9"/>
        <v>-0.21106310899491437</v>
      </c>
      <c r="E12" s="5">
        <f t="shared" si="9"/>
        <v>-0.16719266083547524</v>
      </c>
      <c r="F12" s="5">
        <f t="shared" si="9"/>
        <v>-0.15369901583000439</v>
      </c>
      <c r="G12" s="5">
        <f t="shared" si="9"/>
        <v>-0.47537518327693318</v>
      </c>
      <c r="H12" s="5">
        <f t="shared" si="9"/>
        <v>-0.51051751549761715</v>
      </c>
      <c r="I12" s="5">
        <f t="shared" si="9"/>
        <v>-0.54314968113110951</v>
      </c>
      <c r="J12" s="5">
        <f t="shared" si="9"/>
        <v>-0.54043033399498497</v>
      </c>
      <c r="K12" s="5">
        <f t="shared" si="9"/>
        <v>-0.66695077468551034</v>
      </c>
    </row>
    <row r="13" spans="1:11" ht="15.75" customHeight="1" x14ac:dyDescent="0.25">
      <c r="A13" s="5">
        <v>15</v>
      </c>
      <c r="B13" s="5">
        <f t="shared" ref="B13:K13" si="10">B12</f>
        <v>-0.29278372720927726</v>
      </c>
      <c r="C13" s="5">
        <f t="shared" si="10"/>
        <v>-0.2522502292357135</v>
      </c>
      <c r="D13" s="5">
        <f t="shared" si="10"/>
        <v>-0.21106310899491437</v>
      </c>
      <c r="E13" s="5">
        <f t="shared" si="10"/>
        <v>-0.16719266083547524</v>
      </c>
      <c r="F13" s="5">
        <f t="shared" si="10"/>
        <v>-0.15369901583000439</v>
      </c>
      <c r="G13" s="5">
        <f t="shared" si="10"/>
        <v>-0.47537518327693318</v>
      </c>
      <c r="H13" s="5">
        <f t="shared" si="10"/>
        <v>-0.51051751549761715</v>
      </c>
      <c r="I13" s="5">
        <f t="shared" si="10"/>
        <v>-0.54314968113110951</v>
      </c>
      <c r="J13" s="5">
        <f t="shared" si="10"/>
        <v>-0.54043033399498497</v>
      </c>
      <c r="K13" s="5">
        <f t="shared" si="10"/>
        <v>-0.66695077468551034</v>
      </c>
    </row>
    <row r="14" spans="1:11" ht="15.75" customHeight="1" x14ac:dyDescent="0.25">
      <c r="A14" s="5">
        <v>16</v>
      </c>
      <c r="B14" s="5">
        <f t="shared" ref="B14:K14" si="11">B13</f>
        <v>-0.29278372720927726</v>
      </c>
      <c r="C14" s="5">
        <f t="shared" si="11"/>
        <v>-0.2522502292357135</v>
      </c>
      <c r="D14" s="5">
        <f t="shared" si="11"/>
        <v>-0.21106310899491437</v>
      </c>
      <c r="E14" s="5">
        <f t="shared" si="11"/>
        <v>-0.16719266083547524</v>
      </c>
      <c r="F14" s="5">
        <f t="shared" si="11"/>
        <v>-0.15369901583000439</v>
      </c>
      <c r="G14" s="5">
        <f t="shared" si="11"/>
        <v>-0.47537518327693318</v>
      </c>
      <c r="H14" s="5">
        <f t="shared" si="11"/>
        <v>-0.51051751549761715</v>
      </c>
      <c r="I14" s="5">
        <f t="shared" si="11"/>
        <v>-0.54314968113110951</v>
      </c>
      <c r="J14" s="5">
        <f t="shared" si="11"/>
        <v>-0.54043033399498497</v>
      </c>
      <c r="K14" s="5">
        <f t="shared" si="11"/>
        <v>-0.66695077468551034</v>
      </c>
    </row>
    <row r="15" spans="1:11" ht="15.75" customHeight="1" x14ac:dyDescent="0.25">
      <c r="A15" s="5">
        <v>17</v>
      </c>
      <c r="B15" s="5">
        <f>Dealer!B2-SUM(Dealer!B4:B7)</f>
        <v>-0.15297458768154204</v>
      </c>
      <c r="C15" s="5">
        <f>Dealer!C2-SUM(Dealer!C4:C7)</f>
        <v>-0.11721624142457365</v>
      </c>
      <c r="D15" s="5">
        <f>Dealer!D2-SUM(Dealer!D4:D7)</f>
        <v>-8.0573373145316152E-2</v>
      </c>
      <c r="E15" s="5">
        <f>Dealer!E2-SUM(Dealer!E4:E7)</f>
        <v>-4.4941375564924446E-2</v>
      </c>
      <c r="F15" s="5">
        <f>Dealer!F2-SUM(Dealer!F4:F7)</f>
        <v>1.1739160673341964E-2</v>
      </c>
      <c r="G15" s="5">
        <f>Dealer!G2-SUM(Dealer!G4:G7)</f>
        <v>-0.10680898948269468</v>
      </c>
      <c r="H15" s="5">
        <f>Dealer!H2-SUM(Dealer!H4:H7)</f>
        <v>-0.38195097104844711</v>
      </c>
      <c r="I15" s="5">
        <f>Dealer!I2-SUM(Dealer!I4:I7)</f>
        <v>-0.42315423964521748</v>
      </c>
      <c r="J15" s="5">
        <f>Dealer!J2-SUM(Dealer!J4:J7)</f>
        <v>-0.41972063392881986</v>
      </c>
      <c r="K15" s="5">
        <f>Dealer!K2-SUM(Dealer!K4:K7)</f>
        <v>-0.47803347499473703</v>
      </c>
    </row>
    <row r="16" spans="1:11" ht="15.75" customHeight="1" x14ac:dyDescent="0.25">
      <c r="A16" s="5">
        <v>18</v>
      </c>
      <c r="B16" s="5">
        <f>Dealer!B2+Dealer!B3-SUM(Dealer!B5:B7)</f>
        <v>0.12174190222088771</v>
      </c>
      <c r="C16" s="5">
        <f>Dealer!C2+Dealer!C3-SUM(Dealer!C5:C7)</f>
        <v>0.14830007284131114</v>
      </c>
      <c r="D16" s="5">
        <f>Dealer!D2+Dealer!D3-SUM(Dealer!D5:D7)</f>
        <v>0.17585443719748528</v>
      </c>
      <c r="E16" s="5">
        <f>Dealer!E2+Dealer!E3-SUM(Dealer!E5:E7)</f>
        <v>0.19956119497617719</v>
      </c>
      <c r="F16" s="5">
        <f>Dealer!F2+Dealer!F3-SUM(Dealer!F5:F7)</f>
        <v>0.28344391604689867</v>
      </c>
      <c r="G16" s="5">
        <f>Dealer!G2+Dealer!G3-SUM(Dealer!G5:G7)</f>
        <v>0.3995541673365518</v>
      </c>
      <c r="H16" s="5">
        <f>Dealer!H2+Dealer!H3-SUM(Dealer!H5:H7)</f>
        <v>0.10595134861912359</v>
      </c>
      <c r="I16" s="5">
        <f>Dealer!I2+Dealer!I3-SUM(Dealer!I5:I7)</f>
        <v>-0.18316335667343342</v>
      </c>
      <c r="J16" s="5">
        <f>Dealer!J2+Dealer!J3-SUM(Dealer!J5:J7)</f>
        <v>-0.17830123379648949</v>
      </c>
      <c r="K16" s="5">
        <f>Dealer!K2+Dealer!K3-SUM(Dealer!K5:K7)</f>
        <v>-0.10019887561319057</v>
      </c>
    </row>
    <row r="17" spans="1:11" ht="15.75" customHeight="1" x14ac:dyDescent="0.25">
      <c r="A17" s="5">
        <v>19</v>
      </c>
      <c r="B17" s="5">
        <f>SUM(Dealer!B2:B4)-SUM(Dealer!B6:B7)</f>
        <v>0.38630468602058993</v>
      </c>
      <c r="C17" s="5">
        <f>SUM(Dealer!C2:C4)-SUM(Dealer!C6:C7)</f>
        <v>0.4043629365977599</v>
      </c>
      <c r="D17" s="5">
        <f>SUM(Dealer!D2:D4)-SUM(Dealer!D6:D7)</f>
        <v>0.42317892482749653</v>
      </c>
      <c r="E17" s="5">
        <f>SUM(Dealer!E2:E4)-SUM(Dealer!E6:E7)</f>
        <v>0.43951210416088371</v>
      </c>
      <c r="F17" s="5">
        <f>SUM(Dealer!F2:F4)-SUM(Dealer!F6:F7)</f>
        <v>0.49597707378731926</v>
      </c>
      <c r="G17" s="5">
        <f>SUM(Dealer!G2:G4)-SUM(Dealer!G6:G7)</f>
        <v>0.6159764957534315</v>
      </c>
      <c r="H17" s="5">
        <f>SUM(Dealer!H2:H4)-SUM(Dealer!H6:H7)</f>
        <v>0.59385366828669439</v>
      </c>
      <c r="I17" s="5">
        <f>SUM(Dealer!I2:I4)-SUM(Dealer!I6:I7)</f>
        <v>0.28759675706758148</v>
      </c>
      <c r="J17" s="5">
        <f>SUM(Dealer!J2:J4)-SUM(Dealer!J6:J7)</f>
        <v>6.3118166335840831E-2</v>
      </c>
      <c r="K17" s="5">
        <f>SUM(Dealer!K2:K4)-SUM(Dealer!K6:K7)</f>
        <v>0.27763572376835594</v>
      </c>
    </row>
    <row r="18" spans="1:11" ht="15.75" customHeight="1" x14ac:dyDescent="0.25">
      <c r="A18" s="5">
        <v>20</v>
      </c>
      <c r="B18" s="5">
        <f>SUM(Dealer!B2:B5)-Dealer!B7</f>
        <v>0.63998657521683877</v>
      </c>
      <c r="C18" s="5">
        <f>SUM(Dealer!C2:C5)-Dealer!C7</f>
        <v>0.65027209425148136</v>
      </c>
      <c r="D18" s="5">
        <f>SUM(Dealer!D2:D5)-Dealer!D7</f>
        <v>0.66104996194807186</v>
      </c>
      <c r="E18" s="5">
        <f>SUM(Dealer!E2:E5)-Dealer!E7</f>
        <v>0.67035969063279999</v>
      </c>
      <c r="F18" s="5">
        <f>SUM(Dealer!F2:F5)-Dealer!F7</f>
        <v>0.70395857017134467</v>
      </c>
      <c r="G18" s="5">
        <f>SUM(Dealer!G2:G5)-Dealer!G7</f>
        <v>0.77322722653717491</v>
      </c>
      <c r="H18" s="5">
        <f>SUM(Dealer!H2:H5)-Dealer!H7</f>
        <v>0.79181515955189841</v>
      </c>
      <c r="I18" s="5">
        <f>SUM(Dealer!I2:I5)-Dealer!I7</f>
        <v>0.75835687080859615</v>
      </c>
      <c r="J18" s="5">
        <f>SUM(Dealer!J2:J5)-Dealer!J7</f>
        <v>0.55453756646817121</v>
      </c>
      <c r="K18" s="5">
        <f>SUM(Dealer!K2:K5)-Dealer!K7</f>
        <v>0.65547032314990239</v>
      </c>
    </row>
    <row r="19" spans="1:11" ht="15.75" customHeight="1" x14ac:dyDescent="0.25">
      <c r="A19" s="5">
        <v>21</v>
      </c>
      <c r="B19" s="5">
        <f>SUM(Dealer!B2:B6)</f>
        <v>0.88200651549403997</v>
      </c>
      <c r="C19" s="5">
        <f>SUM(Dealer!C2:C6)</f>
        <v>0.88530035730174927</v>
      </c>
      <c r="D19" s="5">
        <f>SUM(Dealer!D2:D6)</f>
        <v>0.88876729296591961</v>
      </c>
      <c r="E19" s="5">
        <f>SUM(Dealer!E2:E6)</f>
        <v>0.89175382659528035</v>
      </c>
      <c r="F19" s="5">
        <f>SUM(Dealer!F2:F6)</f>
        <v>0.90283674384258006</v>
      </c>
      <c r="G19" s="5">
        <f>SUM(Dealer!G2:G6)</f>
        <v>0.92592629596452325</v>
      </c>
      <c r="H19" s="5">
        <f>SUM(Dealer!H2:H6)</f>
        <v>0.93060505318396614</v>
      </c>
      <c r="I19" s="5">
        <f>SUM(Dealer!I2:I6)</f>
        <v>0.93917615614724415</v>
      </c>
      <c r="J19" s="5">
        <f>SUM(Dealer!J2:J6)</f>
        <v>0.96262363326716827</v>
      </c>
      <c r="K19" s="5">
        <f>SUM(Dealer!K2:K6)</f>
        <v>0.92219381142033785</v>
      </c>
    </row>
    <row r="20" spans="1:11" ht="12.5" x14ac:dyDescent="0.25">
      <c r="A20" s="5">
        <v>22</v>
      </c>
      <c r="B20" s="5">
        <v>-1</v>
      </c>
      <c r="C20" s="5">
        <v>-1</v>
      </c>
      <c r="D20" s="5">
        <v>-1</v>
      </c>
      <c r="E20" s="5">
        <v>-1</v>
      </c>
      <c r="F20" s="5">
        <v>-1</v>
      </c>
      <c r="G20" s="5">
        <v>-1</v>
      </c>
      <c r="H20" s="5">
        <v>-1</v>
      </c>
      <c r="I20" s="5">
        <v>-1</v>
      </c>
      <c r="J20" s="5">
        <v>-1</v>
      </c>
      <c r="K20" s="5">
        <v>-1</v>
      </c>
    </row>
    <row r="21" spans="1:11" ht="12.5" x14ac:dyDescent="0.25">
      <c r="A21" s="5">
        <v>23</v>
      </c>
      <c r="B21" s="5">
        <v>-1</v>
      </c>
      <c r="C21" s="5">
        <v>-1</v>
      </c>
      <c r="D21" s="5">
        <v>-1</v>
      </c>
      <c r="E21" s="5">
        <v>-1</v>
      </c>
      <c r="F21" s="5">
        <v>-1</v>
      </c>
      <c r="G21" s="5">
        <v>-1</v>
      </c>
      <c r="H21" s="5">
        <v>-1</v>
      </c>
      <c r="I21" s="5">
        <v>-1</v>
      </c>
      <c r="J21" s="5">
        <v>-1</v>
      </c>
      <c r="K21" s="5">
        <v>-1</v>
      </c>
    </row>
    <row r="22" spans="1:11" ht="12.5" x14ac:dyDescent="0.25">
      <c r="A22" s="5">
        <v>24</v>
      </c>
      <c r="B22" s="5">
        <v>-1</v>
      </c>
      <c r="C22" s="5">
        <v>-1</v>
      </c>
      <c r="D22" s="5">
        <v>-1</v>
      </c>
      <c r="E22" s="5">
        <v>-1</v>
      </c>
      <c r="F22" s="5">
        <v>-1</v>
      </c>
      <c r="G22" s="5">
        <v>-1</v>
      </c>
      <c r="H22" s="5">
        <v>-1</v>
      </c>
      <c r="I22" s="5">
        <v>-1</v>
      </c>
      <c r="J22" s="5">
        <v>-1</v>
      </c>
      <c r="K22" s="5">
        <v>-1</v>
      </c>
    </row>
    <row r="23" spans="1:11" ht="12.5" x14ac:dyDescent="0.25">
      <c r="A23" s="5">
        <v>25</v>
      </c>
      <c r="B23" s="5">
        <v>-1</v>
      </c>
      <c r="C23" s="5">
        <v>-1</v>
      </c>
      <c r="D23" s="5">
        <v>-1</v>
      </c>
      <c r="E23" s="5">
        <v>-1</v>
      </c>
      <c r="F23" s="5">
        <v>-1</v>
      </c>
      <c r="G23" s="5">
        <v>-1</v>
      </c>
      <c r="H23" s="5">
        <v>-1</v>
      </c>
      <c r="I23" s="5">
        <v>-1</v>
      </c>
      <c r="J23" s="5">
        <v>-1</v>
      </c>
      <c r="K23" s="5">
        <v>-1</v>
      </c>
    </row>
    <row r="24" spans="1:11" ht="12.5" x14ac:dyDescent="0.25">
      <c r="A24" s="5">
        <v>26</v>
      </c>
      <c r="B24" s="5">
        <v>-1</v>
      </c>
      <c r="C24" s="5">
        <v>-1</v>
      </c>
      <c r="D24" s="5">
        <v>-1</v>
      </c>
      <c r="E24" s="5">
        <v>-1</v>
      </c>
      <c r="F24" s="5">
        <v>-1</v>
      </c>
      <c r="G24" s="5">
        <v>-1</v>
      </c>
      <c r="H24" s="5">
        <v>-1</v>
      </c>
      <c r="I24" s="5">
        <v>-1</v>
      </c>
      <c r="J24" s="5">
        <v>-1</v>
      </c>
      <c r="K24" s="5">
        <v>-1</v>
      </c>
    </row>
    <row r="25" spans="1:11" ht="12.5" x14ac:dyDescent="0.25">
      <c r="A25" s="5">
        <v>27</v>
      </c>
      <c r="B25" s="5">
        <v>-1</v>
      </c>
      <c r="C25" s="5">
        <v>-1</v>
      </c>
      <c r="D25" s="5">
        <v>-1</v>
      </c>
      <c r="E25" s="5">
        <v>-1</v>
      </c>
      <c r="F25" s="5">
        <v>-1</v>
      </c>
      <c r="G25" s="5">
        <v>-1</v>
      </c>
      <c r="H25" s="5">
        <v>-1</v>
      </c>
      <c r="I25" s="5">
        <v>-1</v>
      </c>
      <c r="J25" s="5">
        <v>-1</v>
      </c>
      <c r="K25" s="5">
        <v>-1</v>
      </c>
    </row>
    <row r="26" spans="1:11" ht="12.5" x14ac:dyDescent="0.25">
      <c r="A26" s="5">
        <v>28</v>
      </c>
      <c r="B26" s="5">
        <v>-1</v>
      </c>
      <c r="C26" s="5">
        <v>-1</v>
      </c>
      <c r="D26" s="5">
        <v>-1</v>
      </c>
      <c r="E26" s="5">
        <v>-1</v>
      </c>
      <c r="F26" s="5">
        <v>-1</v>
      </c>
      <c r="G26" s="5">
        <v>-1</v>
      </c>
      <c r="H26" s="5">
        <v>-1</v>
      </c>
      <c r="I26" s="5">
        <v>-1</v>
      </c>
      <c r="J26" s="5">
        <v>-1</v>
      </c>
      <c r="K26" s="5">
        <v>-1</v>
      </c>
    </row>
    <row r="27" spans="1:11" ht="12.5" x14ac:dyDescent="0.25">
      <c r="A27" s="5">
        <v>29</v>
      </c>
      <c r="B27" s="5">
        <v>-1</v>
      </c>
      <c r="C27" s="5">
        <v>-1</v>
      </c>
      <c r="D27" s="5">
        <v>-1</v>
      </c>
      <c r="E27" s="5">
        <v>-1</v>
      </c>
      <c r="F27" s="5">
        <v>-1</v>
      </c>
      <c r="G27" s="5">
        <v>-1</v>
      </c>
      <c r="H27" s="5">
        <v>-1</v>
      </c>
      <c r="I27" s="5">
        <v>-1</v>
      </c>
      <c r="J27" s="5">
        <v>-1</v>
      </c>
      <c r="K27" s="5">
        <v>-1</v>
      </c>
    </row>
    <row r="28" spans="1:11" ht="12.5" x14ac:dyDescent="0.25">
      <c r="A28" s="5">
        <v>30</v>
      </c>
      <c r="B28" s="5">
        <v>-1</v>
      </c>
      <c r="C28" s="5">
        <v>-1</v>
      </c>
      <c r="D28" s="5">
        <v>-1</v>
      </c>
      <c r="E28" s="5">
        <v>-1</v>
      </c>
      <c r="F28" s="5">
        <v>-1</v>
      </c>
      <c r="G28" s="5">
        <v>-1</v>
      </c>
      <c r="H28" s="5">
        <v>-1</v>
      </c>
      <c r="I28" s="5">
        <v>-1</v>
      </c>
      <c r="J28" s="5">
        <v>-1</v>
      </c>
      <c r="K28" s="5">
        <v>-1</v>
      </c>
    </row>
    <row r="29" spans="1:11" ht="12.5" x14ac:dyDescent="0.25">
      <c r="A29" s="5">
        <v>31</v>
      </c>
      <c r="B29" s="5">
        <v>-1</v>
      </c>
      <c r="C29" s="5">
        <v>-1</v>
      </c>
      <c r="D29" s="5">
        <v>-1</v>
      </c>
      <c r="E29" s="5">
        <v>-1</v>
      </c>
      <c r="F29" s="5">
        <v>-1</v>
      </c>
      <c r="G29" s="5">
        <v>-1</v>
      </c>
      <c r="H29" s="5">
        <v>-1</v>
      </c>
      <c r="I29" s="5">
        <v>-1</v>
      </c>
      <c r="J29" s="5">
        <v>-1</v>
      </c>
      <c r="K29" s="5">
        <v>-1</v>
      </c>
    </row>
    <row r="31" spans="1:11" ht="12.5" x14ac:dyDescent="0.25">
      <c r="A31" s="5" t="s">
        <v>6</v>
      </c>
    </row>
    <row r="32" spans="1:11" ht="12.5" x14ac:dyDescent="0.25">
      <c r="A32" s="5">
        <v>12</v>
      </c>
      <c r="B32" s="5">
        <f t="shared" ref="B32:K32" si="12">B10</f>
        <v>-0.29278372720927726</v>
      </c>
      <c r="C32" s="5">
        <f t="shared" si="12"/>
        <v>-0.2522502292357135</v>
      </c>
      <c r="D32" s="5">
        <f t="shared" si="12"/>
        <v>-0.21106310899491437</v>
      </c>
      <c r="E32" s="5">
        <f t="shared" si="12"/>
        <v>-0.16719266083547524</v>
      </c>
      <c r="F32" s="5">
        <f t="shared" si="12"/>
        <v>-0.15369901583000439</v>
      </c>
      <c r="G32" s="5">
        <f t="shared" si="12"/>
        <v>-0.47537518327693318</v>
      </c>
      <c r="H32" s="5">
        <f t="shared" si="12"/>
        <v>-0.51051751549761715</v>
      </c>
      <c r="I32" s="5">
        <f t="shared" si="12"/>
        <v>-0.54314968113110951</v>
      </c>
      <c r="J32" s="5">
        <f t="shared" si="12"/>
        <v>-0.54043033399498497</v>
      </c>
      <c r="K32" s="5">
        <f t="shared" si="12"/>
        <v>-0.66695077468551034</v>
      </c>
    </row>
    <row r="33" spans="1:11" ht="12.5" x14ac:dyDescent="0.25">
      <c r="A33" s="5">
        <v>13</v>
      </c>
      <c r="B33" s="5">
        <f t="shared" ref="B33:K33" si="13">B11</f>
        <v>-0.29278372720927726</v>
      </c>
      <c r="C33" s="5">
        <f t="shared" si="13"/>
        <v>-0.2522502292357135</v>
      </c>
      <c r="D33" s="5">
        <f t="shared" si="13"/>
        <v>-0.21106310899491437</v>
      </c>
      <c r="E33" s="5">
        <f t="shared" si="13"/>
        <v>-0.16719266083547524</v>
      </c>
      <c r="F33" s="5">
        <f t="shared" si="13"/>
        <v>-0.15369901583000439</v>
      </c>
      <c r="G33" s="5">
        <f t="shared" si="13"/>
        <v>-0.47537518327693318</v>
      </c>
      <c r="H33" s="5">
        <f t="shared" si="13"/>
        <v>-0.51051751549761715</v>
      </c>
      <c r="I33" s="5">
        <f t="shared" si="13"/>
        <v>-0.54314968113110951</v>
      </c>
      <c r="J33" s="5">
        <f t="shared" si="13"/>
        <v>-0.54043033399498497</v>
      </c>
      <c r="K33" s="5">
        <f t="shared" si="13"/>
        <v>-0.66695077468551034</v>
      </c>
    </row>
    <row r="34" spans="1:11" ht="12.5" x14ac:dyDescent="0.25">
      <c r="A34" s="5">
        <v>14</v>
      </c>
      <c r="B34" s="5">
        <f t="shared" ref="B34:K34" si="14">B12</f>
        <v>-0.29278372720927726</v>
      </c>
      <c r="C34" s="5">
        <f t="shared" si="14"/>
        <v>-0.2522502292357135</v>
      </c>
      <c r="D34" s="5">
        <f t="shared" si="14"/>
        <v>-0.21106310899491437</v>
      </c>
      <c r="E34" s="5">
        <f t="shared" si="14"/>
        <v>-0.16719266083547524</v>
      </c>
      <c r="F34" s="5">
        <f t="shared" si="14"/>
        <v>-0.15369901583000439</v>
      </c>
      <c r="G34" s="5">
        <f t="shared" si="14"/>
        <v>-0.47537518327693318</v>
      </c>
      <c r="H34" s="5">
        <f t="shared" si="14"/>
        <v>-0.51051751549761715</v>
      </c>
      <c r="I34" s="5">
        <f t="shared" si="14"/>
        <v>-0.54314968113110951</v>
      </c>
      <c r="J34" s="5">
        <f t="shared" si="14"/>
        <v>-0.54043033399498497</v>
      </c>
      <c r="K34" s="5">
        <f t="shared" si="14"/>
        <v>-0.66695077468551034</v>
      </c>
    </row>
    <row r="35" spans="1:11" ht="12.5" x14ac:dyDescent="0.25">
      <c r="A35" s="5">
        <v>15</v>
      </c>
      <c r="B35" s="5">
        <f t="shared" ref="B35:K35" si="15">B13</f>
        <v>-0.29278372720927726</v>
      </c>
      <c r="C35" s="5">
        <f t="shared" si="15"/>
        <v>-0.2522502292357135</v>
      </c>
      <c r="D35" s="5">
        <f t="shared" si="15"/>
        <v>-0.21106310899491437</v>
      </c>
      <c r="E35" s="5">
        <f t="shared" si="15"/>
        <v>-0.16719266083547524</v>
      </c>
      <c r="F35" s="5">
        <f t="shared" si="15"/>
        <v>-0.15369901583000439</v>
      </c>
      <c r="G35" s="5">
        <f t="shared" si="15"/>
        <v>-0.47537518327693318</v>
      </c>
      <c r="H35" s="5">
        <f t="shared" si="15"/>
        <v>-0.51051751549761715</v>
      </c>
      <c r="I35" s="5">
        <f t="shared" si="15"/>
        <v>-0.54314968113110951</v>
      </c>
      <c r="J35" s="5">
        <f t="shared" si="15"/>
        <v>-0.54043033399498497</v>
      </c>
      <c r="K35" s="5">
        <f t="shared" si="15"/>
        <v>-0.66695077468551034</v>
      </c>
    </row>
    <row r="36" spans="1:11" ht="12.5" x14ac:dyDescent="0.25">
      <c r="A36" s="5">
        <v>16</v>
      </c>
      <c r="B36" s="5">
        <f t="shared" ref="B36:K36" si="16">B14</f>
        <v>-0.29278372720927726</v>
      </c>
      <c r="C36" s="5">
        <f t="shared" si="16"/>
        <v>-0.2522502292357135</v>
      </c>
      <c r="D36" s="5">
        <f t="shared" si="16"/>
        <v>-0.21106310899491437</v>
      </c>
      <c r="E36" s="5">
        <f t="shared" si="16"/>
        <v>-0.16719266083547524</v>
      </c>
      <c r="F36" s="5">
        <f t="shared" si="16"/>
        <v>-0.15369901583000439</v>
      </c>
      <c r="G36" s="5">
        <f t="shared" si="16"/>
        <v>-0.47537518327693318</v>
      </c>
      <c r="H36" s="5">
        <f t="shared" si="16"/>
        <v>-0.51051751549761715</v>
      </c>
      <c r="I36" s="5">
        <f t="shared" si="16"/>
        <v>-0.54314968113110951</v>
      </c>
      <c r="J36" s="5">
        <f t="shared" si="16"/>
        <v>-0.54043033399498497</v>
      </c>
      <c r="K36" s="5">
        <f t="shared" si="16"/>
        <v>-0.66695077468551034</v>
      </c>
    </row>
    <row r="37" spans="1:11" ht="12.5" x14ac:dyDescent="0.25">
      <c r="A37" s="5">
        <v>17</v>
      </c>
      <c r="B37" s="5">
        <f t="shared" ref="B37:K37" si="17">B15</f>
        <v>-0.15297458768154204</v>
      </c>
      <c r="C37" s="5">
        <f t="shared" si="17"/>
        <v>-0.11721624142457365</v>
      </c>
      <c r="D37" s="5">
        <f t="shared" si="17"/>
        <v>-8.0573373145316152E-2</v>
      </c>
      <c r="E37" s="5">
        <f t="shared" si="17"/>
        <v>-4.4941375564924446E-2</v>
      </c>
      <c r="F37" s="5">
        <f t="shared" si="17"/>
        <v>1.1739160673341964E-2</v>
      </c>
      <c r="G37" s="5">
        <f t="shared" si="17"/>
        <v>-0.10680898948269468</v>
      </c>
      <c r="H37" s="5">
        <f t="shared" si="17"/>
        <v>-0.38195097104844711</v>
      </c>
      <c r="I37" s="5">
        <f t="shared" si="17"/>
        <v>-0.42315423964521748</v>
      </c>
      <c r="J37" s="5">
        <f t="shared" si="17"/>
        <v>-0.41972063392881986</v>
      </c>
      <c r="K37" s="5">
        <f t="shared" si="17"/>
        <v>-0.47803347499473703</v>
      </c>
    </row>
    <row r="38" spans="1:11" ht="12.5" x14ac:dyDescent="0.25">
      <c r="A38" s="5">
        <v>18</v>
      </c>
      <c r="B38" s="5">
        <f t="shared" ref="B38:K38" si="18">B16</f>
        <v>0.12174190222088771</v>
      </c>
      <c r="C38" s="5">
        <f t="shared" si="18"/>
        <v>0.14830007284131114</v>
      </c>
      <c r="D38" s="5">
        <f t="shared" si="18"/>
        <v>0.17585443719748528</v>
      </c>
      <c r="E38" s="5">
        <f t="shared" si="18"/>
        <v>0.19956119497617719</v>
      </c>
      <c r="F38" s="5">
        <f t="shared" si="18"/>
        <v>0.28344391604689867</v>
      </c>
      <c r="G38" s="5">
        <f t="shared" si="18"/>
        <v>0.3995541673365518</v>
      </c>
      <c r="H38" s="5">
        <f t="shared" si="18"/>
        <v>0.10595134861912359</v>
      </c>
      <c r="I38" s="5">
        <f t="shared" si="18"/>
        <v>-0.18316335667343342</v>
      </c>
      <c r="J38" s="5">
        <f t="shared" si="18"/>
        <v>-0.17830123379648949</v>
      </c>
      <c r="K38" s="5">
        <f t="shared" si="18"/>
        <v>-0.10019887561319057</v>
      </c>
    </row>
    <row r="39" spans="1:11" ht="12.5" x14ac:dyDescent="0.25">
      <c r="A39" s="5">
        <v>19</v>
      </c>
      <c r="B39" s="5">
        <f t="shared" ref="B39:K39" si="19">B17</f>
        <v>0.38630468602058993</v>
      </c>
      <c r="C39" s="5">
        <f t="shared" si="19"/>
        <v>0.4043629365977599</v>
      </c>
      <c r="D39" s="5">
        <f t="shared" si="19"/>
        <v>0.42317892482749653</v>
      </c>
      <c r="E39" s="5">
        <f t="shared" si="19"/>
        <v>0.43951210416088371</v>
      </c>
      <c r="F39" s="5">
        <f t="shared" si="19"/>
        <v>0.49597707378731926</v>
      </c>
      <c r="G39" s="5">
        <f t="shared" si="19"/>
        <v>0.6159764957534315</v>
      </c>
      <c r="H39" s="5">
        <f t="shared" si="19"/>
        <v>0.59385366828669439</v>
      </c>
      <c r="I39" s="5">
        <f t="shared" si="19"/>
        <v>0.28759675706758148</v>
      </c>
      <c r="J39" s="5">
        <f t="shared" si="19"/>
        <v>6.3118166335840831E-2</v>
      </c>
      <c r="K39" s="5">
        <f t="shared" si="19"/>
        <v>0.27763572376835594</v>
      </c>
    </row>
    <row r="40" spans="1:11" ht="12.5" x14ac:dyDescent="0.25">
      <c r="A40" s="5">
        <v>20</v>
      </c>
      <c r="B40" s="5">
        <f t="shared" ref="B40:K40" si="20">B18</f>
        <v>0.63998657521683877</v>
      </c>
      <c r="C40" s="5">
        <f t="shared" si="20"/>
        <v>0.65027209425148136</v>
      </c>
      <c r="D40" s="5">
        <f t="shared" si="20"/>
        <v>0.66104996194807186</v>
      </c>
      <c r="E40" s="5">
        <f t="shared" si="20"/>
        <v>0.67035969063279999</v>
      </c>
      <c r="F40" s="5">
        <f t="shared" si="20"/>
        <v>0.70395857017134467</v>
      </c>
      <c r="G40" s="5">
        <f t="shared" si="20"/>
        <v>0.77322722653717491</v>
      </c>
      <c r="H40" s="5">
        <f t="shared" si="20"/>
        <v>0.79181515955189841</v>
      </c>
      <c r="I40" s="5">
        <f t="shared" si="20"/>
        <v>0.75835687080859615</v>
      </c>
      <c r="J40" s="5">
        <f t="shared" si="20"/>
        <v>0.55453756646817121</v>
      </c>
      <c r="K40" s="5">
        <f t="shared" si="20"/>
        <v>0.65547032314990239</v>
      </c>
    </row>
    <row r="41" spans="1:11" ht="12.5" x14ac:dyDescent="0.25">
      <c r="A41" s="5">
        <v>21</v>
      </c>
      <c r="B41" s="5">
        <f t="shared" ref="B41:K41" si="21">B19</f>
        <v>0.88200651549403997</v>
      </c>
      <c r="C41" s="5">
        <f t="shared" si="21"/>
        <v>0.88530035730174927</v>
      </c>
      <c r="D41" s="5">
        <f t="shared" si="21"/>
        <v>0.88876729296591961</v>
      </c>
      <c r="E41" s="5">
        <f t="shared" si="21"/>
        <v>0.89175382659528035</v>
      </c>
      <c r="F41" s="5">
        <f t="shared" si="21"/>
        <v>0.90283674384258006</v>
      </c>
      <c r="G41" s="5">
        <f t="shared" si="21"/>
        <v>0.92592629596452325</v>
      </c>
      <c r="H41" s="5">
        <f t="shared" si="21"/>
        <v>0.93060505318396614</v>
      </c>
      <c r="I41" s="5">
        <f t="shared" si="21"/>
        <v>0.93917615614724415</v>
      </c>
      <c r="J41" s="5">
        <f t="shared" si="21"/>
        <v>0.96262363326716827</v>
      </c>
      <c r="K41" s="5">
        <f t="shared" si="21"/>
        <v>0.92219381142033785</v>
      </c>
    </row>
    <row r="42" spans="1:11" ht="12.5" x14ac:dyDescent="0.25">
      <c r="A42" s="5">
        <v>22</v>
      </c>
      <c r="B42" s="5">
        <f t="shared" ref="B42:K42" si="22">B10</f>
        <v>-0.29278372720927726</v>
      </c>
      <c r="C42" s="5">
        <f t="shared" si="22"/>
        <v>-0.2522502292357135</v>
      </c>
      <c r="D42" s="5">
        <f t="shared" si="22"/>
        <v>-0.21106310899491437</v>
      </c>
      <c r="E42" s="5">
        <f t="shared" si="22"/>
        <v>-0.16719266083547524</v>
      </c>
      <c r="F42" s="5">
        <f t="shared" si="22"/>
        <v>-0.15369901583000439</v>
      </c>
      <c r="G42" s="5">
        <f t="shared" si="22"/>
        <v>-0.47537518327693318</v>
      </c>
      <c r="H42" s="5">
        <f t="shared" si="22"/>
        <v>-0.51051751549761715</v>
      </c>
      <c r="I42" s="5">
        <f t="shared" si="22"/>
        <v>-0.54314968113110951</v>
      </c>
      <c r="J42" s="5">
        <f t="shared" si="22"/>
        <v>-0.54043033399498497</v>
      </c>
      <c r="K42" s="5">
        <f t="shared" si="22"/>
        <v>-0.66695077468551034</v>
      </c>
    </row>
    <row r="43" spans="1:11" ht="12.5" x14ac:dyDescent="0.25">
      <c r="A43" s="5">
        <v>23</v>
      </c>
      <c r="B43" s="5">
        <f t="shared" ref="B43:K43" si="23">B11</f>
        <v>-0.29278372720927726</v>
      </c>
      <c r="C43" s="5">
        <f t="shared" si="23"/>
        <v>-0.2522502292357135</v>
      </c>
      <c r="D43" s="5">
        <f t="shared" si="23"/>
        <v>-0.21106310899491437</v>
      </c>
      <c r="E43" s="5">
        <f t="shared" si="23"/>
        <v>-0.16719266083547524</v>
      </c>
      <c r="F43" s="5">
        <f t="shared" si="23"/>
        <v>-0.15369901583000439</v>
      </c>
      <c r="G43" s="5">
        <f t="shared" si="23"/>
        <v>-0.47537518327693318</v>
      </c>
      <c r="H43" s="5">
        <f t="shared" si="23"/>
        <v>-0.51051751549761715</v>
      </c>
      <c r="I43" s="5">
        <f t="shared" si="23"/>
        <v>-0.54314968113110951</v>
      </c>
      <c r="J43" s="5">
        <f t="shared" si="23"/>
        <v>-0.54043033399498497</v>
      </c>
      <c r="K43" s="5">
        <f t="shared" si="23"/>
        <v>-0.66695077468551034</v>
      </c>
    </row>
    <row r="44" spans="1:11" ht="12.5" x14ac:dyDescent="0.25">
      <c r="A44" s="5">
        <v>24</v>
      </c>
      <c r="B44" s="5">
        <f t="shared" ref="B44:K44" si="24">B12</f>
        <v>-0.29278372720927726</v>
      </c>
      <c r="C44" s="5">
        <f t="shared" si="24"/>
        <v>-0.2522502292357135</v>
      </c>
      <c r="D44" s="5">
        <f t="shared" si="24"/>
        <v>-0.21106310899491437</v>
      </c>
      <c r="E44" s="5">
        <f t="shared" si="24"/>
        <v>-0.16719266083547524</v>
      </c>
      <c r="F44" s="5">
        <f t="shared" si="24"/>
        <v>-0.15369901583000439</v>
      </c>
      <c r="G44" s="5">
        <f t="shared" si="24"/>
        <v>-0.47537518327693318</v>
      </c>
      <c r="H44" s="5">
        <f t="shared" si="24"/>
        <v>-0.51051751549761715</v>
      </c>
      <c r="I44" s="5">
        <f t="shared" si="24"/>
        <v>-0.54314968113110951</v>
      </c>
      <c r="J44" s="5">
        <f t="shared" si="24"/>
        <v>-0.54043033399498497</v>
      </c>
      <c r="K44" s="5">
        <f t="shared" si="24"/>
        <v>-0.66695077468551034</v>
      </c>
    </row>
    <row r="45" spans="1:11" ht="12.5" x14ac:dyDescent="0.25">
      <c r="A45" s="5">
        <v>25</v>
      </c>
      <c r="B45" s="5">
        <f t="shared" ref="B45:K45" si="25">B13</f>
        <v>-0.29278372720927726</v>
      </c>
      <c r="C45" s="5">
        <f t="shared" si="25"/>
        <v>-0.2522502292357135</v>
      </c>
      <c r="D45" s="5">
        <f t="shared" si="25"/>
        <v>-0.21106310899491437</v>
      </c>
      <c r="E45" s="5">
        <f t="shared" si="25"/>
        <v>-0.16719266083547524</v>
      </c>
      <c r="F45" s="5">
        <f t="shared" si="25"/>
        <v>-0.15369901583000439</v>
      </c>
      <c r="G45" s="5">
        <f t="shared" si="25"/>
        <v>-0.47537518327693318</v>
      </c>
      <c r="H45" s="5">
        <f t="shared" si="25"/>
        <v>-0.51051751549761715</v>
      </c>
      <c r="I45" s="5">
        <f t="shared" si="25"/>
        <v>-0.54314968113110951</v>
      </c>
      <c r="J45" s="5">
        <f t="shared" si="25"/>
        <v>-0.54043033399498497</v>
      </c>
      <c r="K45" s="5">
        <f t="shared" si="25"/>
        <v>-0.66695077468551034</v>
      </c>
    </row>
    <row r="46" spans="1:11" ht="12.5" x14ac:dyDescent="0.25">
      <c r="A46" s="5">
        <v>26</v>
      </c>
      <c r="B46" s="5">
        <f t="shared" ref="B46:K46" si="26">B14</f>
        <v>-0.29278372720927726</v>
      </c>
      <c r="C46" s="5">
        <f t="shared" si="26"/>
        <v>-0.2522502292357135</v>
      </c>
      <c r="D46" s="5">
        <f t="shared" si="26"/>
        <v>-0.21106310899491437</v>
      </c>
      <c r="E46" s="5">
        <f t="shared" si="26"/>
        <v>-0.16719266083547524</v>
      </c>
      <c r="F46" s="5">
        <f t="shared" si="26"/>
        <v>-0.15369901583000439</v>
      </c>
      <c r="G46" s="5">
        <f t="shared" si="26"/>
        <v>-0.47537518327693318</v>
      </c>
      <c r="H46" s="5">
        <f t="shared" si="26"/>
        <v>-0.51051751549761715</v>
      </c>
      <c r="I46" s="5">
        <f t="shared" si="26"/>
        <v>-0.54314968113110951</v>
      </c>
      <c r="J46" s="5">
        <f t="shared" si="26"/>
        <v>-0.54043033399498497</v>
      </c>
      <c r="K46" s="5">
        <f t="shared" si="26"/>
        <v>-0.66695077468551034</v>
      </c>
    </row>
    <row r="47" spans="1:11" ht="12.5" x14ac:dyDescent="0.25">
      <c r="A47" s="5">
        <v>27</v>
      </c>
      <c r="B47" s="5">
        <f t="shared" ref="B47:K47" si="27">B15</f>
        <v>-0.15297458768154204</v>
      </c>
      <c r="C47" s="5">
        <f t="shared" si="27"/>
        <v>-0.11721624142457365</v>
      </c>
      <c r="D47" s="5">
        <f t="shared" si="27"/>
        <v>-8.0573373145316152E-2</v>
      </c>
      <c r="E47" s="5">
        <f t="shared" si="27"/>
        <v>-4.4941375564924446E-2</v>
      </c>
      <c r="F47" s="5">
        <f t="shared" si="27"/>
        <v>1.1739160673341964E-2</v>
      </c>
      <c r="G47" s="5">
        <f t="shared" si="27"/>
        <v>-0.10680898948269468</v>
      </c>
      <c r="H47" s="5">
        <f t="shared" si="27"/>
        <v>-0.38195097104844711</v>
      </c>
      <c r="I47" s="5">
        <f t="shared" si="27"/>
        <v>-0.42315423964521748</v>
      </c>
      <c r="J47" s="5">
        <f t="shared" si="27"/>
        <v>-0.41972063392881986</v>
      </c>
      <c r="K47" s="5">
        <f t="shared" si="27"/>
        <v>-0.47803347499473703</v>
      </c>
    </row>
    <row r="48" spans="1:11" ht="12.5" x14ac:dyDescent="0.25">
      <c r="A48" s="5">
        <v>28</v>
      </c>
      <c r="B48" s="5">
        <f t="shared" ref="B48:K48" si="28">B16</f>
        <v>0.12174190222088771</v>
      </c>
      <c r="C48" s="5">
        <f t="shared" si="28"/>
        <v>0.14830007284131114</v>
      </c>
      <c r="D48" s="5">
        <f t="shared" si="28"/>
        <v>0.17585443719748528</v>
      </c>
      <c r="E48" s="5">
        <f t="shared" si="28"/>
        <v>0.19956119497617719</v>
      </c>
      <c r="F48" s="5">
        <f t="shared" si="28"/>
        <v>0.28344391604689867</v>
      </c>
      <c r="G48" s="5">
        <f t="shared" si="28"/>
        <v>0.3995541673365518</v>
      </c>
      <c r="H48" s="5">
        <f t="shared" si="28"/>
        <v>0.10595134861912359</v>
      </c>
      <c r="I48" s="5">
        <f t="shared" si="28"/>
        <v>-0.18316335667343342</v>
      </c>
      <c r="J48" s="5">
        <f t="shared" si="28"/>
        <v>-0.17830123379648949</v>
      </c>
      <c r="K48" s="5">
        <f t="shared" si="28"/>
        <v>-0.10019887561319057</v>
      </c>
    </row>
    <row r="49" spans="1:11" ht="12.5" x14ac:dyDescent="0.25">
      <c r="A49" s="5">
        <v>29</v>
      </c>
      <c r="B49" s="5">
        <f t="shared" ref="B49:K49" si="29">B17</f>
        <v>0.38630468602058993</v>
      </c>
      <c r="C49" s="5">
        <f t="shared" si="29"/>
        <v>0.4043629365977599</v>
      </c>
      <c r="D49" s="5">
        <f t="shared" si="29"/>
        <v>0.42317892482749653</v>
      </c>
      <c r="E49" s="5">
        <f t="shared" si="29"/>
        <v>0.43951210416088371</v>
      </c>
      <c r="F49" s="5">
        <f t="shared" si="29"/>
        <v>0.49597707378731926</v>
      </c>
      <c r="G49" s="5">
        <f t="shared" si="29"/>
        <v>0.6159764957534315</v>
      </c>
      <c r="H49" s="5">
        <f t="shared" si="29"/>
        <v>0.59385366828669439</v>
      </c>
      <c r="I49" s="5">
        <f t="shared" si="29"/>
        <v>0.28759675706758148</v>
      </c>
      <c r="J49" s="5">
        <f t="shared" si="29"/>
        <v>6.3118166335840831E-2</v>
      </c>
      <c r="K49" s="5">
        <f t="shared" si="29"/>
        <v>0.27763572376835594</v>
      </c>
    </row>
    <row r="50" spans="1:11" ht="12.5" x14ac:dyDescent="0.25">
      <c r="A50" s="5">
        <v>30</v>
      </c>
      <c r="B50" s="5">
        <f t="shared" ref="B50:K50" si="30">B18</f>
        <v>0.63998657521683877</v>
      </c>
      <c r="C50" s="5">
        <f t="shared" si="30"/>
        <v>0.65027209425148136</v>
      </c>
      <c r="D50" s="5">
        <f t="shared" si="30"/>
        <v>0.66104996194807186</v>
      </c>
      <c r="E50" s="5">
        <f t="shared" si="30"/>
        <v>0.67035969063279999</v>
      </c>
      <c r="F50" s="5">
        <f t="shared" si="30"/>
        <v>0.70395857017134467</v>
      </c>
      <c r="G50" s="5">
        <f t="shared" si="30"/>
        <v>0.77322722653717491</v>
      </c>
      <c r="H50" s="5">
        <f t="shared" si="30"/>
        <v>0.79181515955189841</v>
      </c>
      <c r="I50" s="5">
        <f t="shared" si="30"/>
        <v>0.75835687080859615</v>
      </c>
      <c r="J50" s="5">
        <f t="shared" si="30"/>
        <v>0.55453756646817121</v>
      </c>
      <c r="K50" s="5">
        <f t="shared" si="30"/>
        <v>0.65547032314990239</v>
      </c>
    </row>
    <row r="51" spans="1:11" ht="12.5" x14ac:dyDescent="0.25">
      <c r="A51" s="5">
        <v>31</v>
      </c>
      <c r="B51" s="5">
        <f t="shared" ref="B51:K51" si="31">B19</f>
        <v>0.88200651549403997</v>
      </c>
      <c r="C51" s="5">
        <f t="shared" si="31"/>
        <v>0.88530035730174927</v>
      </c>
      <c r="D51" s="5">
        <f t="shared" si="31"/>
        <v>0.88876729296591961</v>
      </c>
      <c r="E51" s="5">
        <f t="shared" si="31"/>
        <v>0.89175382659528035</v>
      </c>
      <c r="F51" s="5">
        <f t="shared" si="31"/>
        <v>0.90283674384258006</v>
      </c>
      <c r="G51" s="5">
        <f t="shared" si="31"/>
        <v>0.92592629596452325</v>
      </c>
      <c r="H51" s="5">
        <f t="shared" si="31"/>
        <v>0.93060505318396614</v>
      </c>
      <c r="I51" s="5">
        <f t="shared" si="31"/>
        <v>0.93917615614724415</v>
      </c>
      <c r="J51" s="5">
        <f t="shared" si="31"/>
        <v>0.96262363326716827</v>
      </c>
      <c r="K51" s="5">
        <f t="shared" si="31"/>
        <v>0.92219381142033785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51"/>
  <sheetViews>
    <sheetView workbookViewId="0"/>
  </sheetViews>
  <sheetFormatPr defaultColWidth="12.6328125" defaultRowHeight="15.75" customHeight="1" x14ac:dyDescent="0.25"/>
  <cols>
    <col min="14" max="23" width="4.7265625" customWidth="1"/>
  </cols>
  <sheetData>
    <row r="1" spans="1:23" ht="15.75" customHeight="1" x14ac:dyDescent="0.25">
      <c r="A1" s="5" t="s">
        <v>1</v>
      </c>
      <c r="B1" s="5">
        <v>2</v>
      </c>
      <c r="C1" s="5">
        <v>3</v>
      </c>
      <c r="D1" s="5">
        <v>4</v>
      </c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 t="s">
        <v>2</v>
      </c>
      <c r="M1" s="5" t="s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  <c r="W1" s="2" t="s">
        <v>2</v>
      </c>
    </row>
    <row r="2" spans="1:23" ht="15.75" customHeight="1" x14ac:dyDescent="0.25">
      <c r="A2" s="5">
        <v>4</v>
      </c>
      <c r="B2" s="5">
        <f>MAX(Hit!B2,Stand!B2)</f>
        <v>-0.11491332761892134</v>
      </c>
      <c r="C2" s="5">
        <f>MAX(Hit!C2,Stand!C2)</f>
        <v>-8.2613314299744375E-2</v>
      </c>
      <c r="D2" s="5">
        <f>MAX(Hit!D2,Stand!D2)</f>
        <v>-4.9367420106916908E-2</v>
      </c>
      <c r="E2" s="5">
        <f>MAX(Hit!E2,Stand!E2)</f>
        <v>-1.2379926519926384E-2</v>
      </c>
      <c r="F2" s="5">
        <f>MAX(Hit!F2,Stand!F2)</f>
        <v>1.1130417280979889E-2</v>
      </c>
      <c r="G2" s="5">
        <f>MAX(Hit!G2,Stand!G2)</f>
        <v>-8.8279201058463722E-2</v>
      </c>
      <c r="H2" s="5">
        <f>MAX(Hit!H2,Stand!H2)</f>
        <v>-0.15933415266020509</v>
      </c>
      <c r="I2" s="5">
        <f>MAX(Hit!I2,Stand!I2)</f>
        <v>-0.24066617915336547</v>
      </c>
      <c r="J2" s="5">
        <f>MAX(Hit!J2,Stand!J2)</f>
        <v>-0.28919791448567511</v>
      </c>
      <c r="K2" s="5">
        <f>MAX(Hit!K2,Stand!K2)</f>
        <v>-0.25307699440390868</v>
      </c>
      <c r="M2" s="5">
        <v>4</v>
      </c>
      <c r="N2" s="2" t="str">
        <f>IF(B2=Stand!B2,"S","H")</f>
        <v>H</v>
      </c>
      <c r="O2" s="2" t="str">
        <f>IF(C2=Stand!C2,"S","H")</f>
        <v>H</v>
      </c>
      <c r="P2" s="2" t="str">
        <f>IF(D2=Stand!D2,"S","H")</f>
        <v>H</v>
      </c>
      <c r="Q2" s="2" t="str">
        <f>IF(E2=Stand!E2,"S","H")</f>
        <v>H</v>
      </c>
      <c r="R2" s="2" t="str">
        <f>IF(F2=Stand!F2,"S","H")</f>
        <v>H</v>
      </c>
      <c r="S2" s="2" t="str">
        <f>IF(G2=Stand!G2,"S","H")</f>
        <v>H</v>
      </c>
      <c r="T2" s="2" t="str">
        <f>IF(H2=Stand!H2,"S","H")</f>
        <v>H</v>
      </c>
      <c r="U2" s="2" t="str">
        <f>IF(I2=Stand!I2,"S","H")</f>
        <v>H</v>
      </c>
      <c r="V2" s="2" t="str">
        <f>IF(J2=Stand!J2,"S","H")</f>
        <v>H</v>
      </c>
      <c r="W2" s="2" t="str">
        <f>IF(K2=Stand!K2,"S","H")</f>
        <v>H</v>
      </c>
    </row>
    <row r="3" spans="1:23" ht="15.75" customHeight="1" x14ac:dyDescent="0.25">
      <c r="A3" s="5">
        <v>5</v>
      </c>
      <c r="B3" s="5">
        <f>MAX(Hit!B3,Stand!B3)</f>
        <v>-0.12821556706374745</v>
      </c>
      <c r="C3" s="5">
        <f>MAX(Hit!C3,Stand!C3)</f>
        <v>-9.5310227261489883E-2</v>
      </c>
      <c r="D3" s="5">
        <f>MAX(Hit!D3,Stand!D3)</f>
        <v>-6.1479464199694238E-2</v>
      </c>
      <c r="E3" s="5">
        <f>MAX(Hit!E3,Stand!E3)</f>
        <v>-2.397897039185962E-2</v>
      </c>
      <c r="F3" s="5">
        <f>MAX(Hit!F3,Stand!F3)</f>
        <v>-1.1863378384400908E-3</v>
      </c>
      <c r="G3" s="5">
        <f>MAX(Hit!G3,Stand!G3)</f>
        <v>-0.11944744188414852</v>
      </c>
      <c r="H3" s="5">
        <f>MAX(Hit!H3,Stand!H3)</f>
        <v>-0.18809330390318518</v>
      </c>
      <c r="I3" s="5">
        <f>MAX(Hit!I3,Stand!I3)</f>
        <v>-0.2666150533579591</v>
      </c>
      <c r="J3" s="5">
        <f>MAX(Hit!J3,Stand!J3)</f>
        <v>-0.31341164336497107</v>
      </c>
      <c r="K3" s="5">
        <f>MAX(Hit!K3,Stand!K3)</f>
        <v>-0.27857459755181968</v>
      </c>
      <c r="M3" s="5">
        <v>5</v>
      </c>
      <c r="N3" s="2" t="str">
        <f>IF(B3=Stand!B3,"S","H")</f>
        <v>H</v>
      </c>
      <c r="O3" s="2" t="str">
        <f>IF(C3=Stand!C3,"S","H")</f>
        <v>H</v>
      </c>
      <c r="P3" s="2" t="str">
        <f>IF(D3=Stand!D3,"S","H")</f>
        <v>H</v>
      </c>
      <c r="Q3" s="2" t="str">
        <f>IF(E3=Stand!E3,"S","H")</f>
        <v>H</v>
      </c>
      <c r="R3" s="2" t="str">
        <f>IF(F3=Stand!F3,"S","H")</f>
        <v>H</v>
      </c>
      <c r="S3" s="2" t="str">
        <f>IF(G3=Stand!G3,"S","H")</f>
        <v>H</v>
      </c>
      <c r="T3" s="2" t="str">
        <f>IF(H3=Stand!H3,"S","H")</f>
        <v>H</v>
      </c>
      <c r="U3" s="2" t="str">
        <f>IF(I3=Stand!I3,"S","H")</f>
        <v>H</v>
      </c>
      <c r="V3" s="2" t="str">
        <f>IF(J3=Stand!J3,"S","H")</f>
        <v>H</v>
      </c>
      <c r="W3" s="2" t="str">
        <f>IF(K3=Stand!K3,"S","H")</f>
        <v>H</v>
      </c>
    </row>
    <row r="4" spans="1:23" ht="15.75" customHeight="1" x14ac:dyDescent="0.25">
      <c r="A4" s="5">
        <v>6</v>
      </c>
      <c r="B4" s="5">
        <f>MAX(Hit!B4,Stand!B4)</f>
        <v>-0.14075911746001987</v>
      </c>
      <c r="C4" s="5">
        <f>MAX(Hit!C4,Stand!C4)</f>
        <v>-0.10729107800860836</v>
      </c>
      <c r="D4" s="5">
        <f>MAX(Hit!D4,Stand!D4)</f>
        <v>-7.2917141926387305E-2</v>
      </c>
      <c r="E4" s="5">
        <f>MAX(Hit!E4,Stand!E4)</f>
        <v>-3.4915973330102178E-2</v>
      </c>
      <c r="F4" s="5">
        <f>MAX(Hit!F4,Stand!F4)</f>
        <v>-1.3005835529874204E-2</v>
      </c>
      <c r="G4" s="5">
        <f>MAX(Hit!G4,Stand!G4)</f>
        <v>-0.15193270723669944</v>
      </c>
      <c r="H4" s="5">
        <f>MAX(Hit!H4,Stand!H4)</f>
        <v>-0.21724188132078476</v>
      </c>
      <c r="I4" s="5">
        <f>MAX(Hit!I4,Stand!I4)</f>
        <v>-0.29264070019772598</v>
      </c>
      <c r="J4" s="5">
        <f>MAX(Hit!J4,Stand!J4)</f>
        <v>-0.33774944037840804</v>
      </c>
      <c r="K4" s="5">
        <f>MAX(Hit!K4,Stand!K4)</f>
        <v>-0.30414663097569938</v>
      </c>
      <c r="M4" s="5">
        <v>6</v>
      </c>
      <c r="N4" s="2" t="str">
        <f>IF(B4=Stand!B4,"S","H")</f>
        <v>H</v>
      </c>
      <c r="O4" s="2" t="str">
        <f>IF(C4=Stand!C4,"S","H")</f>
        <v>H</v>
      </c>
      <c r="P4" s="2" t="str">
        <f>IF(D4=Stand!D4,"S","H")</f>
        <v>H</v>
      </c>
      <c r="Q4" s="2" t="str">
        <f>IF(E4=Stand!E4,"S","H")</f>
        <v>H</v>
      </c>
      <c r="R4" s="2" t="str">
        <f>IF(F4=Stand!F4,"S","H")</f>
        <v>H</v>
      </c>
      <c r="S4" s="2" t="str">
        <f>IF(G4=Stand!G4,"S","H")</f>
        <v>H</v>
      </c>
      <c r="T4" s="2" t="str">
        <f>IF(H4=Stand!H4,"S","H")</f>
        <v>H</v>
      </c>
      <c r="U4" s="2" t="str">
        <f>IF(I4=Stand!I4,"S","H")</f>
        <v>H</v>
      </c>
      <c r="V4" s="2" t="str">
        <f>IF(J4=Stand!J4,"S","H")</f>
        <v>H</v>
      </c>
      <c r="W4" s="2" t="str">
        <f>IF(K4=Stand!K4,"S","H")</f>
        <v>H</v>
      </c>
    </row>
    <row r="5" spans="1:23" ht="15.75" customHeight="1" x14ac:dyDescent="0.25">
      <c r="A5" s="5">
        <v>7</v>
      </c>
      <c r="B5" s="5">
        <f>MAX(Hit!B5,Stand!B5)</f>
        <v>-0.10918342786661633</v>
      </c>
      <c r="C5" s="5">
        <f>MAX(Hit!C5,Stand!C5)</f>
        <v>-7.658298190446361E-2</v>
      </c>
      <c r="D5" s="5">
        <f>MAX(Hit!D5,Stand!D5)</f>
        <v>-4.3021794004341876E-2</v>
      </c>
      <c r="E5" s="5">
        <f>MAX(Hit!E5,Stand!E5)</f>
        <v>-7.2713609029408845E-3</v>
      </c>
      <c r="F5" s="5">
        <f>MAX(Hit!F5,Stand!F5)</f>
        <v>2.9185342353860964E-2</v>
      </c>
      <c r="G5" s="5">
        <f>MAX(Hit!G5,Stand!G5)</f>
        <v>-6.8807799580427764E-2</v>
      </c>
      <c r="H5" s="5">
        <f>MAX(Hit!H5,Stand!H5)</f>
        <v>-0.21060476872434966</v>
      </c>
      <c r="I5" s="5">
        <f>MAX(Hit!I5,Stand!I5)</f>
        <v>-0.28536544048687662</v>
      </c>
      <c r="J5" s="5">
        <f>MAX(Hit!J5,Stand!J5)</f>
        <v>-0.31905479139833842</v>
      </c>
      <c r="K5" s="5">
        <f>MAX(Hit!K5,Stand!K5)</f>
        <v>-0.31007165033163697</v>
      </c>
      <c r="M5" s="5">
        <v>7</v>
      </c>
      <c r="N5" s="2" t="str">
        <f>IF(B5=Stand!B5,"S","H")</f>
        <v>H</v>
      </c>
      <c r="O5" s="2" t="str">
        <f>IF(C5=Stand!C5,"S","H")</f>
        <v>H</v>
      </c>
      <c r="P5" s="2" t="str">
        <f>IF(D5=Stand!D5,"S","H")</f>
        <v>H</v>
      </c>
      <c r="Q5" s="2" t="str">
        <f>IF(E5=Stand!E5,"S","H")</f>
        <v>H</v>
      </c>
      <c r="R5" s="2" t="str">
        <f>IF(F5=Stand!F5,"S","H")</f>
        <v>H</v>
      </c>
      <c r="S5" s="2" t="str">
        <f>IF(G5=Stand!G5,"S","H")</f>
        <v>H</v>
      </c>
      <c r="T5" s="2" t="str">
        <f>IF(H5=Stand!H5,"S","H")</f>
        <v>H</v>
      </c>
      <c r="U5" s="2" t="str">
        <f>IF(I5=Stand!I5,"S","H")</f>
        <v>H</v>
      </c>
      <c r="V5" s="2" t="str">
        <f>IF(J5=Stand!J5,"S","H")</f>
        <v>H</v>
      </c>
      <c r="W5" s="2" t="str">
        <f>IF(K5=Stand!K5,"S","H")</f>
        <v>H</v>
      </c>
    </row>
    <row r="6" spans="1:23" ht="15.75" customHeight="1" x14ac:dyDescent="0.25">
      <c r="A6" s="5">
        <v>8</v>
      </c>
      <c r="B6" s="5">
        <f>MAX(Hit!B6,Stand!B6)</f>
        <v>-2.1798188008805668E-2</v>
      </c>
      <c r="C6" s="5">
        <f>MAX(Hit!C6,Stand!C6)</f>
        <v>8.0052625306546651E-3</v>
      </c>
      <c r="D6" s="5">
        <f>MAX(Hit!D6,Stand!D6)</f>
        <v>3.8784473277208811E-2</v>
      </c>
      <c r="E6" s="5">
        <f>MAX(Hit!E6,Stand!E6)</f>
        <v>7.0804635983033826E-2</v>
      </c>
      <c r="F6" s="5">
        <f>MAX(Hit!F6,Stand!F6)</f>
        <v>0.11496015009622332</v>
      </c>
      <c r="G6" s="5">
        <f>MAX(Hit!G6,Stand!G6)</f>
        <v>8.2207439363742862E-2</v>
      </c>
      <c r="H6" s="5">
        <f>MAX(Hit!H6,Stand!H6)</f>
        <v>-5.9898275658656304E-2</v>
      </c>
      <c r="I6" s="5">
        <f>MAX(Hit!I6,Stand!I6)</f>
        <v>-0.21018633199821762</v>
      </c>
      <c r="J6" s="5">
        <f>MAX(Hit!J6,Stand!J6)</f>
        <v>-0.24937508055334259</v>
      </c>
      <c r="K6" s="5">
        <f>MAX(Hit!K6,Stand!K6)</f>
        <v>-0.1970288105741636</v>
      </c>
      <c r="M6" s="5">
        <v>8</v>
      </c>
      <c r="N6" s="2" t="str">
        <f>IF(B6=Stand!B6,"S","H")</f>
        <v>H</v>
      </c>
      <c r="O6" s="2" t="str">
        <f>IF(C6=Stand!C6,"S","H")</f>
        <v>H</v>
      </c>
      <c r="P6" s="2" t="str">
        <f>IF(D6=Stand!D6,"S","H")</f>
        <v>H</v>
      </c>
      <c r="Q6" s="2" t="str">
        <f>IF(E6=Stand!E6,"S","H")</f>
        <v>H</v>
      </c>
      <c r="R6" s="2" t="str">
        <f>IF(F6=Stand!F6,"S","H")</f>
        <v>H</v>
      </c>
      <c r="S6" s="2" t="str">
        <f>IF(G6=Stand!G6,"S","H")</f>
        <v>H</v>
      </c>
      <c r="T6" s="2" t="str">
        <f>IF(H6=Stand!H6,"S","H")</f>
        <v>H</v>
      </c>
      <c r="U6" s="2" t="str">
        <f>IF(I6=Stand!I6,"S","H")</f>
        <v>H</v>
      </c>
      <c r="V6" s="2" t="str">
        <f>IF(J6=Stand!J6,"S","H")</f>
        <v>H</v>
      </c>
      <c r="W6" s="2" t="str">
        <f>IF(K6=Stand!K6,"S","H")</f>
        <v>H</v>
      </c>
    </row>
    <row r="7" spans="1:23" ht="15.75" customHeight="1" x14ac:dyDescent="0.25">
      <c r="A7" s="5">
        <v>9</v>
      </c>
      <c r="B7" s="5">
        <f>MAX(Hit!B7,Stand!B7)</f>
        <v>7.4446037576340524E-2</v>
      </c>
      <c r="C7" s="5">
        <f>MAX(Hit!C7,Stand!C7)</f>
        <v>0.10126470173887674</v>
      </c>
      <c r="D7" s="5">
        <f>MAX(Hit!D7,Stand!D7)</f>
        <v>0.12898088119574178</v>
      </c>
      <c r="E7" s="5">
        <f>MAX(Hit!E7,Stand!E7)</f>
        <v>0.15803185626651736</v>
      </c>
      <c r="F7" s="5">
        <f>MAX(Hit!F7,Stand!F7)</f>
        <v>0.19601883925727884</v>
      </c>
      <c r="G7" s="5">
        <f>MAX(Hit!G7,Stand!G7)</f>
        <v>0.17186785993695267</v>
      </c>
      <c r="H7" s="5">
        <f>MAX(Hit!H7,Stand!H7)</f>
        <v>9.8376217435392543E-2</v>
      </c>
      <c r="I7" s="5">
        <f>MAX(Hit!I7,Stand!I7)</f>
        <v>-5.2178053462651711E-2</v>
      </c>
      <c r="J7" s="5">
        <f>MAX(Hit!J7,Stand!J7)</f>
        <v>-0.15295298487455075</v>
      </c>
      <c r="K7" s="5">
        <f>MAX(Hit!K7,Stand!K7)</f>
        <v>-6.5680778778066204E-2</v>
      </c>
      <c r="M7" s="5">
        <v>9</v>
      </c>
      <c r="N7" s="2" t="str">
        <f>IF(B7=Stand!B7,"S","H")</f>
        <v>H</v>
      </c>
      <c r="O7" s="2" t="str">
        <f>IF(C7=Stand!C7,"S","H")</f>
        <v>H</v>
      </c>
      <c r="P7" s="2" t="str">
        <f>IF(D7=Stand!D7,"S","H")</f>
        <v>H</v>
      </c>
      <c r="Q7" s="2" t="str">
        <f>IF(E7=Stand!E7,"S","H")</f>
        <v>H</v>
      </c>
      <c r="R7" s="2" t="str">
        <f>IF(F7=Stand!F7,"S","H")</f>
        <v>H</v>
      </c>
      <c r="S7" s="2" t="str">
        <f>IF(G7=Stand!G7,"S","H")</f>
        <v>H</v>
      </c>
      <c r="T7" s="2" t="str">
        <f>IF(H7=Stand!H7,"S","H")</f>
        <v>H</v>
      </c>
      <c r="U7" s="2" t="str">
        <f>IF(I7=Stand!I7,"S","H")</f>
        <v>H</v>
      </c>
      <c r="V7" s="2" t="str">
        <f>IF(J7=Stand!J7,"S","H")</f>
        <v>H</v>
      </c>
      <c r="W7" s="2" t="str">
        <f>IF(K7=Stand!K7,"S","H")</f>
        <v>H</v>
      </c>
    </row>
    <row r="8" spans="1:23" ht="15.75" customHeight="1" x14ac:dyDescent="0.25">
      <c r="A8" s="5">
        <v>10</v>
      </c>
      <c r="B8" s="5">
        <f>MAX(Hit!B8,Stand!B8)</f>
        <v>0.18249999400904487</v>
      </c>
      <c r="C8" s="5">
        <f>MAX(Hit!C8,Stand!C8)</f>
        <v>0.20608797581394089</v>
      </c>
      <c r="D8" s="5">
        <f>MAX(Hit!D8,Stand!D8)</f>
        <v>0.230470121897177</v>
      </c>
      <c r="E8" s="5">
        <f>MAX(Hit!E8,Stand!E8)</f>
        <v>0.25625855450163387</v>
      </c>
      <c r="F8" s="5">
        <f>MAX(Hit!F8,Stand!F8)</f>
        <v>0.28779508429888434</v>
      </c>
      <c r="G8" s="5">
        <f>MAX(Hit!G8,Stand!G8)</f>
        <v>0.25690874433608657</v>
      </c>
      <c r="H8" s="5">
        <f>MAX(Hit!H8,Stand!H8)</f>
        <v>0.19795370833197612</v>
      </c>
      <c r="I8" s="5">
        <f>MAX(Hit!I8,Stand!I8)</f>
        <v>0.11652959106928386</v>
      </c>
      <c r="J8" s="5">
        <f>MAX(Hit!J8,Stand!J8)</f>
        <v>2.5308523040868145E-2</v>
      </c>
      <c r="K8" s="5">
        <f>MAX(Hit!K8,Stand!K8)</f>
        <v>8.1449707945275923E-2</v>
      </c>
      <c r="M8" s="5">
        <v>10</v>
      </c>
      <c r="N8" s="2" t="str">
        <f>IF(B8=Stand!B8,"S","H")</f>
        <v>H</v>
      </c>
      <c r="O8" s="2" t="str">
        <f>IF(C8=Stand!C8,"S","H")</f>
        <v>H</v>
      </c>
      <c r="P8" s="2" t="str">
        <f>IF(D8=Stand!D8,"S","H")</f>
        <v>H</v>
      </c>
      <c r="Q8" s="2" t="str">
        <f>IF(E8=Stand!E8,"S","H")</f>
        <v>H</v>
      </c>
      <c r="R8" s="2" t="str">
        <f>IF(F8=Stand!F8,"S","H")</f>
        <v>H</v>
      </c>
      <c r="S8" s="2" t="str">
        <f>IF(G8=Stand!G8,"S","H")</f>
        <v>H</v>
      </c>
      <c r="T8" s="2" t="str">
        <f>IF(H8=Stand!H8,"S","H")</f>
        <v>H</v>
      </c>
      <c r="U8" s="2" t="str">
        <f>IF(I8=Stand!I8,"S","H")</f>
        <v>H</v>
      </c>
      <c r="V8" s="2" t="str">
        <f>IF(J8=Stand!J8,"S","H")</f>
        <v>H</v>
      </c>
      <c r="W8" s="2" t="str">
        <f>IF(K8=Stand!K8,"S","H")</f>
        <v>H</v>
      </c>
    </row>
    <row r="9" spans="1:23" ht="15.75" customHeight="1" x14ac:dyDescent="0.25">
      <c r="A9" s="5">
        <v>11</v>
      </c>
      <c r="B9" s="5">
        <f>MAX(Hit!B9,Stand!B9)</f>
        <v>0.23835074945762977</v>
      </c>
      <c r="C9" s="5">
        <f>MAX(Hit!C9,Stand!C9)</f>
        <v>0.26032526728707961</v>
      </c>
      <c r="D9" s="5">
        <f>MAX(Hit!D9,Stand!D9)</f>
        <v>0.28302027520898804</v>
      </c>
      <c r="E9" s="5">
        <f>MAX(Hit!E9,Stand!E9)</f>
        <v>0.30734950895451402</v>
      </c>
      <c r="F9" s="5">
        <f>MAX(Hit!F9,Stand!F9)</f>
        <v>0.33369004745378483</v>
      </c>
      <c r="G9" s="5">
        <f>MAX(Hit!G9,Stand!G9)</f>
        <v>0.29214699112701309</v>
      </c>
      <c r="H9" s="5">
        <f>MAX(Hit!H9,Stand!H9)</f>
        <v>0.22998214532399175</v>
      </c>
      <c r="I9" s="5">
        <f>MAX(Hit!I9,Stand!I9)</f>
        <v>0.15825711845512574</v>
      </c>
      <c r="J9" s="5">
        <f>MAX(Hit!J9,Stand!J9)</f>
        <v>0.11948223076371366</v>
      </c>
      <c r="K9" s="5">
        <f>MAX(Hit!K9,Stand!K9)</f>
        <v>0.14300128216153019</v>
      </c>
      <c r="M9" s="5">
        <v>11</v>
      </c>
      <c r="N9" s="2" t="str">
        <f>IF(B9=Stand!B9,"S","H")</f>
        <v>H</v>
      </c>
      <c r="O9" s="2" t="str">
        <f>IF(C9=Stand!C9,"S","H")</f>
        <v>H</v>
      </c>
      <c r="P9" s="2" t="str">
        <f>IF(D9=Stand!D9,"S","H")</f>
        <v>H</v>
      </c>
      <c r="Q9" s="2" t="str">
        <f>IF(E9=Stand!E9,"S","H")</f>
        <v>H</v>
      </c>
      <c r="R9" s="2" t="str">
        <f>IF(F9=Stand!F9,"S","H")</f>
        <v>H</v>
      </c>
      <c r="S9" s="2" t="str">
        <f>IF(G9=Stand!G9,"S","H")</f>
        <v>H</v>
      </c>
      <c r="T9" s="2" t="str">
        <f>IF(H9=Stand!H9,"S","H")</f>
        <v>H</v>
      </c>
      <c r="U9" s="2" t="str">
        <f>IF(I9=Stand!I9,"S","H")</f>
        <v>H</v>
      </c>
      <c r="V9" s="2" t="str">
        <f>IF(J9=Stand!J9,"S","H")</f>
        <v>H</v>
      </c>
      <c r="W9" s="2" t="str">
        <f>IF(K9=Stand!K9,"S","H")</f>
        <v>H</v>
      </c>
    </row>
    <row r="10" spans="1:23" ht="15.75" customHeight="1" x14ac:dyDescent="0.25">
      <c r="A10" s="5">
        <v>12</v>
      </c>
      <c r="B10" s="5">
        <f>MAX(Hit!B10,Stand!B10)</f>
        <v>-0.25338998596663803</v>
      </c>
      <c r="C10" s="5">
        <f>MAX(Hit!C10,Stand!C10)</f>
        <v>-0.2336908997980866</v>
      </c>
      <c r="D10" s="5">
        <f>MAX(Hit!D10,Stand!D10)</f>
        <v>-0.21106310899491437</v>
      </c>
      <c r="E10" s="5">
        <f>MAX(Hit!E10,Stand!E10)</f>
        <v>-0.16719266083547524</v>
      </c>
      <c r="F10" s="5">
        <f>MAX(Hit!F10,Stand!F10)</f>
        <v>-0.15369901583000439</v>
      </c>
      <c r="G10" s="5">
        <f>MAX(Hit!G10,Stand!G10)</f>
        <v>-0.21284771451731427</v>
      </c>
      <c r="H10" s="5">
        <f>MAX(Hit!H10,Stand!H10)</f>
        <v>-0.27157480502428616</v>
      </c>
      <c r="I10" s="5">
        <f>MAX(Hit!I10,Stand!I10)</f>
        <v>-0.3400132806089356</v>
      </c>
      <c r="J10" s="5">
        <f>MAX(Hit!J10,Stand!J10)</f>
        <v>-0.38104299284808757</v>
      </c>
      <c r="K10" s="5">
        <f>MAX(Hit!K10,Stand!K10)</f>
        <v>-0.35054034044008009</v>
      </c>
      <c r="M10" s="5">
        <v>12</v>
      </c>
      <c r="N10" s="2" t="str">
        <f>IF(B10=Stand!B10,"S","H")</f>
        <v>H</v>
      </c>
      <c r="O10" s="2" t="str">
        <f>IF(C10=Stand!C10,"S","H")</f>
        <v>H</v>
      </c>
      <c r="P10" s="2" t="str">
        <f>IF(D10=Stand!D10,"S","H")</f>
        <v>S</v>
      </c>
      <c r="Q10" s="2" t="str">
        <f>IF(E10=Stand!E10,"S","H")</f>
        <v>S</v>
      </c>
      <c r="R10" s="2" t="str">
        <f>IF(F10=Stand!F10,"S","H")</f>
        <v>S</v>
      </c>
      <c r="S10" s="2" t="str">
        <f>IF(G10=Stand!G10,"S","H")</f>
        <v>H</v>
      </c>
      <c r="T10" s="2" t="str">
        <f>IF(H10=Stand!H10,"S","H")</f>
        <v>H</v>
      </c>
      <c r="U10" s="2" t="str">
        <f>IF(I10=Stand!I10,"S","H")</f>
        <v>H</v>
      </c>
      <c r="V10" s="2" t="str">
        <f>IF(J10=Stand!J10,"S","H")</f>
        <v>H</v>
      </c>
      <c r="W10" s="2" t="str">
        <f>IF(K10=Stand!K10,"S","H")</f>
        <v>H</v>
      </c>
    </row>
    <row r="11" spans="1:23" ht="15.75" customHeight="1" x14ac:dyDescent="0.25">
      <c r="A11" s="5">
        <v>13</v>
      </c>
      <c r="B11" s="5">
        <f>MAX(Hit!B11,Stand!B11)</f>
        <v>-0.29278372720927726</v>
      </c>
      <c r="C11" s="5">
        <f>MAX(Hit!C11,Stand!C11)</f>
        <v>-0.2522502292357135</v>
      </c>
      <c r="D11" s="5">
        <f>MAX(Hit!D11,Stand!D11)</f>
        <v>-0.21106310899491437</v>
      </c>
      <c r="E11" s="5">
        <f>MAX(Hit!E11,Stand!E11)</f>
        <v>-0.16719266083547524</v>
      </c>
      <c r="F11" s="5">
        <f>MAX(Hit!F11,Stand!F11)</f>
        <v>-0.15369901583000439</v>
      </c>
      <c r="G11" s="5">
        <f>MAX(Hit!G11,Stand!G11)</f>
        <v>-0.26907287776607752</v>
      </c>
      <c r="H11" s="5">
        <f>MAX(Hit!H11,Stand!H11)</f>
        <v>-0.32360517609397998</v>
      </c>
      <c r="I11" s="5">
        <f>MAX(Hit!I11,Stand!I11)</f>
        <v>-0.38715518913686875</v>
      </c>
      <c r="J11" s="5">
        <f>MAX(Hit!J11,Stand!J11)</f>
        <v>-0.42525420764465277</v>
      </c>
      <c r="K11" s="5">
        <f>MAX(Hit!K11,Stand!K11)</f>
        <v>-0.3969303161229315</v>
      </c>
      <c r="M11" s="5">
        <v>13</v>
      </c>
      <c r="N11" s="2" t="str">
        <f>IF(B11=Stand!B11,"S","H")</f>
        <v>S</v>
      </c>
      <c r="O11" s="2" t="str">
        <f>IF(C11=Stand!C11,"S","H")</f>
        <v>S</v>
      </c>
      <c r="P11" s="2" t="str">
        <f>IF(D11=Stand!D11,"S","H")</f>
        <v>S</v>
      </c>
      <c r="Q11" s="2" t="str">
        <f>IF(E11=Stand!E11,"S","H")</f>
        <v>S</v>
      </c>
      <c r="R11" s="2" t="str">
        <f>IF(F11=Stand!F11,"S","H")</f>
        <v>S</v>
      </c>
      <c r="S11" s="2" t="str">
        <f>IF(G11=Stand!G11,"S","H")</f>
        <v>H</v>
      </c>
      <c r="T11" s="2" t="str">
        <f>IF(H11=Stand!H11,"S","H")</f>
        <v>H</v>
      </c>
      <c r="U11" s="2" t="str">
        <f>IF(I11=Stand!I11,"S","H")</f>
        <v>H</v>
      </c>
      <c r="V11" s="2" t="str">
        <f>IF(J11=Stand!J11,"S","H")</f>
        <v>H</v>
      </c>
      <c r="W11" s="2" t="str">
        <f>IF(K11=Stand!K11,"S","H")</f>
        <v>H</v>
      </c>
    </row>
    <row r="12" spans="1:23" ht="15.75" customHeight="1" x14ac:dyDescent="0.25">
      <c r="A12" s="5">
        <v>14</v>
      </c>
      <c r="B12" s="5">
        <f>MAX(Hit!B12,Stand!B12)</f>
        <v>-0.29278372720927726</v>
      </c>
      <c r="C12" s="5">
        <f>MAX(Hit!C12,Stand!C12)</f>
        <v>-0.2522502292357135</v>
      </c>
      <c r="D12" s="5">
        <f>MAX(Hit!D12,Stand!D12)</f>
        <v>-0.21106310899491437</v>
      </c>
      <c r="E12" s="5">
        <f>MAX(Hit!E12,Stand!E12)</f>
        <v>-0.16719266083547524</v>
      </c>
      <c r="F12" s="5">
        <f>MAX(Hit!F12,Stand!F12)</f>
        <v>-0.15369901583000439</v>
      </c>
      <c r="G12" s="5">
        <f>MAX(Hit!G12,Stand!G12)</f>
        <v>-0.3212819579256434</v>
      </c>
      <c r="H12" s="5">
        <f>MAX(Hit!H12,Stand!H12)</f>
        <v>-0.37191909208726709</v>
      </c>
      <c r="I12" s="5">
        <f>MAX(Hit!I12,Stand!I12)</f>
        <v>-0.43092981848423528</v>
      </c>
      <c r="J12" s="5">
        <f>MAX(Hit!J12,Stand!J12)</f>
        <v>-0.46630747852717758</v>
      </c>
      <c r="K12" s="5">
        <f>MAX(Hit!K12,Stand!K12)</f>
        <v>-0.44000672211415065</v>
      </c>
      <c r="M12" s="5">
        <v>14</v>
      </c>
      <c r="N12" s="2" t="str">
        <f>IF(B12=Stand!B12,"S","H")</f>
        <v>S</v>
      </c>
      <c r="O12" s="2" t="str">
        <f>IF(C12=Stand!C12,"S","H")</f>
        <v>S</v>
      </c>
      <c r="P12" s="2" t="str">
        <f>IF(D12=Stand!D12,"S","H")</f>
        <v>S</v>
      </c>
      <c r="Q12" s="2" t="str">
        <f>IF(E12=Stand!E12,"S","H")</f>
        <v>S</v>
      </c>
      <c r="R12" s="2" t="str">
        <f>IF(F12=Stand!F12,"S","H")</f>
        <v>S</v>
      </c>
      <c r="S12" s="2" t="str">
        <f>IF(G12=Stand!G12,"S","H")</f>
        <v>H</v>
      </c>
      <c r="T12" s="2" t="str">
        <f>IF(H12=Stand!H12,"S","H")</f>
        <v>H</v>
      </c>
      <c r="U12" s="2" t="str">
        <f>IF(I12=Stand!I12,"S","H")</f>
        <v>H</v>
      </c>
      <c r="V12" s="2" t="str">
        <f>IF(J12=Stand!J12,"S","H")</f>
        <v>H</v>
      </c>
      <c r="W12" s="2" t="str">
        <f>IF(K12=Stand!K12,"S","H")</f>
        <v>H</v>
      </c>
    </row>
    <row r="13" spans="1:23" ht="15.75" customHeight="1" x14ac:dyDescent="0.25">
      <c r="A13" s="5">
        <v>15</v>
      </c>
      <c r="B13" s="5">
        <f>MAX(Hit!B13,Stand!B13)</f>
        <v>-0.29278372720927726</v>
      </c>
      <c r="C13" s="5">
        <f>MAX(Hit!C13,Stand!C13)</f>
        <v>-0.2522502292357135</v>
      </c>
      <c r="D13" s="5">
        <f>MAX(Hit!D13,Stand!D13)</f>
        <v>-0.21106310899491437</v>
      </c>
      <c r="E13" s="5">
        <f>MAX(Hit!E13,Stand!E13)</f>
        <v>-0.16719266083547524</v>
      </c>
      <c r="F13" s="5">
        <f>MAX(Hit!F13,Stand!F13)</f>
        <v>-0.15369901583000439</v>
      </c>
      <c r="G13" s="5">
        <f>MAX(Hit!G13,Stand!G13)</f>
        <v>-0.36976181807381175</v>
      </c>
      <c r="H13" s="5">
        <f>MAX(Hit!H13,Stand!H13)</f>
        <v>-0.41678201408103371</v>
      </c>
      <c r="I13" s="5">
        <f>MAX(Hit!I13,Stand!I13)</f>
        <v>-0.47157768859250421</v>
      </c>
      <c r="J13" s="5">
        <f>MAX(Hit!J13,Stand!J13)</f>
        <v>-0.5044283729180935</v>
      </c>
      <c r="K13" s="5">
        <f>MAX(Hit!K13,Stand!K13)</f>
        <v>-0.4800062419631399</v>
      </c>
      <c r="M13" s="5">
        <v>15</v>
      </c>
      <c r="N13" s="2" t="str">
        <f>IF(B13=Stand!B13,"S","H")</f>
        <v>S</v>
      </c>
      <c r="O13" s="2" t="str">
        <f>IF(C13=Stand!C13,"S","H")</f>
        <v>S</v>
      </c>
      <c r="P13" s="2" t="str">
        <f>IF(D13=Stand!D13,"S","H")</f>
        <v>S</v>
      </c>
      <c r="Q13" s="2" t="str">
        <f>IF(E13=Stand!E13,"S","H")</f>
        <v>S</v>
      </c>
      <c r="R13" s="2" t="str">
        <f>IF(F13=Stand!F13,"S","H")</f>
        <v>S</v>
      </c>
      <c r="S13" s="2" t="str">
        <f>IF(G13=Stand!G13,"S","H")</f>
        <v>H</v>
      </c>
      <c r="T13" s="2" t="str">
        <f>IF(H13=Stand!H13,"S","H")</f>
        <v>H</v>
      </c>
      <c r="U13" s="2" t="str">
        <f>IF(I13=Stand!I13,"S","H")</f>
        <v>H</v>
      </c>
      <c r="V13" s="2" t="str">
        <f>IF(J13=Stand!J13,"S","H")</f>
        <v>H</v>
      </c>
      <c r="W13" s="2" t="str">
        <f>IF(K13=Stand!K13,"S","H")</f>
        <v>H</v>
      </c>
    </row>
    <row r="14" spans="1:23" ht="15.75" customHeight="1" x14ac:dyDescent="0.25">
      <c r="A14" s="5">
        <v>16</v>
      </c>
      <c r="B14" s="5">
        <f>MAX(Hit!B14,Stand!B14)</f>
        <v>-0.29278372720927726</v>
      </c>
      <c r="C14" s="5">
        <f>MAX(Hit!C14,Stand!C14)</f>
        <v>-0.2522502292357135</v>
      </c>
      <c r="D14" s="5">
        <f>MAX(Hit!D14,Stand!D14)</f>
        <v>-0.21106310899491437</v>
      </c>
      <c r="E14" s="5">
        <f>MAX(Hit!E14,Stand!E14)</f>
        <v>-0.16719266083547524</v>
      </c>
      <c r="F14" s="5">
        <f>MAX(Hit!F14,Stand!F14)</f>
        <v>-0.15369901583000439</v>
      </c>
      <c r="G14" s="5">
        <f>MAX(Hit!G14,Stand!G14)</f>
        <v>-0.41477883106853947</v>
      </c>
      <c r="H14" s="5">
        <f>MAX(Hit!H14,Stand!H14)</f>
        <v>-0.45844044164667419</v>
      </c>
      <c r="I14" s="5">
        <f>MAX(Hit!I14,Stand!I14)</f>
        <v>-0.50932213940732529</v>
      </c>
      <c r="J14" s="5">
        <f>MAX(Hit!J14,Stand!J14)</f>
        <v>-0.53982634628108683</v>
      </c>
      <c r="K14" s="5">
        <f>MAX(Hit!K14,Stand!K14)</f>
        <v>-0.51714865325148707</v>
      </c>
      <c r="M14" s="5">
        <v>16</v>
      </c>
      <c r="N14" s="2" t="str">
        <f>IF(B14=Stand!B14,"S","H")</f>
        <v>S</v>
      </c>
      <c r="O14" s="2" t="str">
        <f>IF(C14=Stand!C14,"S","H")</f>
        <v>S</v>
      </c>
      <c r="P14" s="2" t="str">
        <f>IF(D14=Stand!D14,"S","H")</f>
        <v>S</v>
      </c>
      <c r="Q14" s="2" t="str">
        <f>IF(E14=Stand!E14,"S","H")</f>
        <v>S</v>
      </c>
      <c r="R14" s="2" t="str">
        <f>IF(F14=Stand!F14,"S","H")</f>
        <v>S</v>
      </c>
      <c r="S14" s="2" t="str">
        <f>IF(G14=Stand!G14,"S","H")</f>
        <v>H</v>
      </c>
      <c r="T14" s="2" t="str">
        <f>IF(H14=Stand!H14,"S","H")</f>
        <v>H</v>
      </c>
      <c r="U14" s="2" t="str">
        <f>IF(I14=Stand!I14,"S","H")</f>
        <v>H</v>
      </c>
      <c r="V14" s="2" t="str">
        <f>IF(J14=Stand!J14,"S","H")</f>
        <v>H</v>
      </c>
      <c r="W14" s="2" t="str">
        <f>IF(K14=Stand!K14,"S","H")</f>
        <v>H</v>
      </c>
    </row>
    <row r="15" spans="1:23" ht="15.75" customHeight="1" x14ac:dyDescent="0.25">
      <c r="A15" s="5">
        <v>17</v>
      </c>
      <c r="B15" s="5">
        <f>MAX(Hit!B15,Stand!B15)</f>
        <v>-0.15297458768154204</v>
      </c>
      <c r="C15" s="5">
        <f>MAX(Hit!C15,Stand!C15)</f>
        <v>-0.11721624142457365</v>
      </c>
      <c r="D15" s="5">
        <f>MAX(Hit!D15,Stand!D15)</f>
        <v>-8.0573373145316152E-2</v>
      </c>
      <c r="E15" s="5">
        <f>MAX(Hit!E15,Stand!E15)</f>
        <v>-4.4941375564924446E-2</v>
      </c>
      <c r="F15" s="5">
        <f>MAX(Hit!F15,Stand!F15)</f>
        <v>1.1739160673341964E-2</v>
      </c>
      <c r="G15" s="5">
        <f>MAX(Hit!G15,Stand!G15)</f>
        <v>-0.10680898948269468</v>
      </c>
      <c r="H15" s="5">
        <f>MAX(Hit!H15,Stand!H15)</f>
        <v>-0.38195097104844711</v>
      </c>
      <c r="I15" s="5">
        <f>MAX(Hit!I15,Stand!I15)</f>
        <v>-0.42315423964521748</v>
      </c>
      <c r="J15" s="5">
        <f>MAX(Hit!J15,Stand!J15)</f>
        <v>-0.41972063392881986</v>
      </c>
      <c r="K15" s="5">
        <f>MAX(Hit!K15,Stand!K15)</f>
        <v>-0.47803347499473703</v>
      </c>
      <c r="M15" s="5">
        <v>17</v>
      </c>
      <c r="N15" s="2" t="str">
        <f>IF(B15=Stand!B15,"S","H")</f>
        <v>S</v>
      </c>
      <c r="O15" s="2" t="str">
        <f>IF(C15=Stand!C15,"S","H")</f>
        <v>S</v>
      </c>
      <c r="P15" s="2" t="str">
        <f>IF(D15=Stand!D15,"S","H")</f>
        <v>S</v>
      </c>
      <c r="Q15" s="2" t="str">
        <f>IF(E15=Stand!E15,"S","H")</f>
        <v>S</v>
      </c>
      <c r="R15" s="2" t="str">
        <f>IF(F15=Stand!F15,"S","H")</f>
        <v>S</v>
      </c>
      <c r="S15" s="2" t="str">
        <f>IF(G15=Stand!G15,"S","H")</f>
        <v>S</v>
      </c>
      <c r="T15" s="2" t="str">
        <f>IF(H15=Stand!H15,"S","H")</f>
        <v>S</v>
      </c>
      <c r="U15" s="2" t="str">
        <f>IF(I15=Stand!I15,"S","H")</f>
        <v>S</v>
      </c>
      <c r="V15" s="2" t="str">
        <f>IF(J15=Stand!J15,"S","H")</f>
        <v>S</v>
      </c>
      <c r="W15" s="2" t="str">
        <f>IF(K15=Stand!K15,"S","H")</f>
        <v>S</v>
      </c>
    </row>
    <row r="16" spans="1:23" ht="15.75" customHeight="1" x14ac:dyDescent="0.25">
      <c r="A16" s="5">
        <v>18</v>
      </c>
      <c r="B16" s="5">
        <f>MAX(Hit!B16,Stand!B16)</f>
        <v>0.12174190222088771</v>
      </c>
      <c r="C16" s="5">
        <f>MAX(Hit!C16,Stand!C16)</f>
        <v>0.14830007284131114</v>
      </c>
      <c r="D16" s="5">
        <f>MAX(Hit!D16,Stand!D16)</f>
        <v>0.17585443719748528</v>
      </c>
      <c r="E16" s="5">
        <f>MAX(Hit!E16,Stand!E16)</f>
        <v>0.19956119497617719</v>
      </c>
      <c r="F16" s="5">
        <f>MAX(Hit!F16,Stand!F16)</f>
        <v>0.28344391604689867</v>
      </c>
      <c r="G16" s="5">
        <f>MAX(Hit!G16,Stand!G16)</f>
        <v>0.3995541673365518</v>
      </c>
      <c r="H16" s="5">
        <f>MAX(Hit!H16,Stand!H16)</f>
        <v>0.10595134861912359</v>
      </c>
      <c r="I16" s="5">
        <f>MAX(Hit!I16,Stand!I16)</f>
        <v>-0.18316335667343342</v>
      </c>
      <c r="J16" s="5">
        <f>MAX(Hit!J16,Stand!J16)</f>
        <v>-0.17830123379648949</v>
      </c>
      <c r="K16" s="5">
        <f>MAX(Hit!K16,Stand!K16)</f>
        <v>-0.10019887561319057</v>
      </c>
      <c r="M16" s="5">
        <v>18</v>
      </c>
      <c r="N16" s="2" t="str">
        <f>IF(B16=Stand!B16,"S","H")</f>
        <v>S</v>
      </c>
      <c r="O16" s="2" t="str">
        <f>IF(C16=Stand!C16,"S","H")</f>
        <v>S</v>
      </c>
      <c r="P16" s="2" t="str">
        <f>IF(D16=Stand!D16,"S","H")</f>
        <v>S</v>
      </c>
      <c r="Q16" s="2" t="str">
        <f>IF(E16=Stand!E16,"S","H")</f>
        <v>S</v>
      </c>
      <c r="R16" s="2" t="str">
        <f>IF(F16=Stand!F16,"S","H")</f>
        <v>S</v>
      </c>
      <c r="S16" s="2" t="str">
        <f>IF(G16=Stand!G16,"S","H")</f>
        <v>S</v>
      </c>
      <c r="T16" s="2" t="str">
        <f>IF(H16=Stand!H16,"S","H")</f>
        <v>S</v>
      </c>
      <c r="U16" s="2" t="str">
        <f>IF(I16=Stand!I16,"S","H")</f>
        <v>S</v>
      </c>
      <c r="V16" s="2" t="str">
        <f>IF(J16=Stand!J16,"S","H")</f>
        <v>S</v>
      </c>
      <c r="W16" s="2" t="str">
        <f>IF(K16=Stand!K16,"S","H")</f>
        <v>S</v>
      </c>
    </row>
    <row r="17" spans="1:23" ht="15.75" customHeight="1" x14ac:dyDescent="0.25">
      <c r="A17" s="5">
        <v>19</v>
      </c>
      <c r="B17" s="5">
        <f>MAX(Hit!B17,Stand!B17)</f>
        <v>0.38630468602058993</v>
      </c>
      <c r="C17" s="5">
        <f>MAX(Hit!C17,Stand!C17)</f>
        <v>0.4043629365977599</v>
      </c>
      <c r="D17" s="5">
        <f>MAX(Hit!D17,Stand!D17)</f>
        <v>0.42317892482749653</v>
      </c>
      <c r="E17" s="5">
        <f>MAX(Hit!E17,Stand!E17)</f>
        <v>0.43951210416088371</v>
      </c>
      <c r="F17" s="5">
        <f>MAX(Hit!F17,Stand!F17)</f>
        <v>0.49597707378731926</v>
      </c>
      <c r="G17" s="5">
        <f>MAX(Hit!G17,Stand!G17)</f>
        <v>0.6159764957534315</v>
      </c>
      <c r="H17" s="5">
        <f>MAX(Hit!H17,Stand!H17)</f>
        <v>0.59385366828669439</v>
      </c>
      <c r="I17" s="5">
        <f>MAX(Hit!I17,Stand!I17)</f>
        <v>0.28759675706758148</v>
      </c>
      <c r="J17" s="5">
        <f>MAX(Hit!J17,Stand!J17)</f>
        <v>6.3118166335840831E-2</v>
      </c>
      <c r="K17" s="5">
        <f>MAX(Hit!K17,Stand!K17)</f>
        <v>0.27763572376835594</v>
      </c>
      <c r="M17" s="5">
        <v>19</v>
      </c>
      <c r="N17" s="2" t="str">
        <f>IF(B17=Stand!B17,"S","H")</f>
        <v>S</v>
      </c>
      <c r="O17" s="2" t="str">
        <f>IF(C17=Stand!C17,"S","H")</f>
        <v>S</v>
      </c>
      <c r="P17" s="2" t="str">
        <f>IF(D17=Stand!D17,"S","H")</f>
        <v>S</v>
      </c>
      <c r="Q17" s="2" t="str">
        <f>IF(E17=Stand!E17,"S","H")</f>
        <v>S</v>
      </c>
      <c r="R17" s="2" t="str">
        <f>IF(F17=Stand!F17,"S","H")</f>
        <v>S</v>
      </c>
      <c r="S17" s="2" t="str">
        <f>IF(G17=Stand!G17,"S","H")</f>
        <v>S</v>
      </c>
      <c r="T17" s="2" t="str">
        <f>IF(H17=Stand!H17,"S","H")</f>
        <v>S</v>
      </c>
      <c r="U17" s="2" t="str">
        <f>IF(I17=Stand!I17,"S","H")</f>
        <v>S</v>
      </c>
      <c r="V17" s="2" t="str">
        <f>IF(J17=Stand!J17,"S","H")</f>
        <v>S</v>
      </c>
      <c r="W17" s="2" t="str">
        <f>IF(K17=Stand!K17,"S","H")</f>
        <v>S</v>
      </c>
    </row>
    <row r="18" spans="1:23" ht="15.75" customHeight="1" x14ac:dyDescent="0.25">
      <c r="A18" s="5">
        <v>20</v>
      </c>
      <c r="B18" s="5">
        <f>MAX(Hit!B18,Stand!B18)</f>
        <v>0.63998657521683877</v>
      </c>
      <c r="C18" s="5">
        <f>MAX(Hit!C18,Stand!C18)</f>
        <v>0.65027209425148136</v>
      </c>
      <c r="D18" s="5">
        <f>MAX(Hit!D18,Stand!D18)</f>
        <v>0.66104996194807186</v>
      </c>
      <c r="E18" s="5">
        <f>MAX(Hit!E18,Stand!E18)</f>
        <v>0.67035969063279999</v>
      </c>
      <c r="F18" s="5">
        <f>MAX(Hit!F18,Stand!F18)</f>
        <v>0.70395857017134467</v>
      </c>
      <c r="G18" s="5">
        <f>MAX(Hit!G18,Stand!G18)</f>
        <v>0.77322722653717491</v>
      </c>
      <c r="H18" s="5">
        <f>MAX(Hit!H18,Stand!H18)</f>
        <v>0.79181515955189841</v>
      </c>
      <c r="I18" s="5">
        <f>MAX(Hit!I18,Stand!I18)</f>
        <v>0.75835687080859615</v>
      </c>
      <c r="J18" s="5">
        <f>MAX(Hit!J18,Stand!J18)</f>
        <v>0.55453756646817121</v>
      </c>
      <c r="K18" s="5">
        <f>MAX(Hit!K18,Stand!K18)</f>
        <v>0.65547032314990239</v>
      </c>
      <c r="M18" s="5">
        <v>20</v>
      </c>
      <c r="N18" s="2" t="str">
        <f>IF(B18=Stand!B18,"S","H")</f>
        <v>S</v>
      </c>
      <c r="O18" s="2" t="str">
        <f>IF(C18=Stand!C18,"S","H")</f>
        <v>S</v>
      </c>
      <c r="P18" s="2" t="str">
        <f>IF(D18=Stand!D18,"S","H")</f>
        <v>S</v>
      </c>
      <c r="Q18" s="2" t="str">
        <f>IF(E18=Stand!E18,"S","H")</f>
        <v>S</v>
      </c>
      <c r="R18" s="2" t="str">
        <f>IF(F18=Stand!F18,"S","H")</f>
        <v>S</v>
      </c>
      <c r="S18" s="2" t="str">
        <f>IF(G18=Stand!G18,"S","H")</f>
        <v>S</v>
      </c>
      <c r="T18" s="2" t="str">
        <f>IF(H18=Stand!H18,"S","H")</f>
        <v>S</v>
      </c>
      <c r="U18" s="2" t="str">
        <f>IF(I18=Stand!I18,"S","H")</f>
        <v>S</v>
      </c>
      <c r="V18" s="2" t="str">
        <f>IF(J18=Stand!J18,"S","H")</f>
        <v>S</v>
      </c>
      <c r="W18" s="2" t="str">
        <f>IF(K18=Stand!K18,"S","H")</f>
        <v>S</v>
      </c>
    </row>
    <row r="19" spans="1:23" ht="15.75" customHeight="1" x14ac:dyDescent="0.25">
      <c r="A19" s="5">
        <v>21</v>
      </c>
      <c r="B19" s="5">
        <f>MAX(Hit!B19,Stand!B19)</f>
        <v>0.88200651549403997</v>
      </c>
      <c r="C19" s="5">
        <f>MAX(Hit!C19,Stand!C19)</f>
        <v>0.88530035730174927</v>
      </c>
      <c r="D19" s="5">
        <f>MAX(Hit!D19,Stand!D19)</f>
        <v>0.88876729296591961</v>
      </c>
      <c r="E19" s="5">
        <f>MAX(Hit!E19,Stand!E19)</f>
        <v>0.89175382659528035</v>
      </c>
      <c r="F19" s="5">
        <f>MAX(Hit!F19,Stand!F19)</f>
        <v>0.90283674384258006</v>
      </c>
      <c r="G19" s="5">
        <f>MAX(Hit!G19,Stand!G19)</f>
        <v>0.92592629596452325</v>
      </c>
      <c r="H19" s="5">
        <f>MAX(Hit!H19,Stand!H19)</f>
        <v>0.93060505318396614</v>
      </c>
      <c r="I19" s="5">
        <f>MAX(Hit!I19,Stand!I19)</f>
        <v>0.93917615614724415</v>
      </c>
      <c r="J19" s="5">
        <f>MAX(Hit!J19,Stand!J19)</f>
        <v>0.96262363326716827</v>
      </c>
      <c r="K19" s="5">
        <f>MAX(Hit!K19,Stand!K19)</f>
        <v>0.92219381142033785</v>
      </c>
      <c r="M19" s="5">
        <v>21</v>
      </c>
      <c r="N19" s="2" t="str">
        <f>IF(B19=Stand!B19,"S","H")</f>
        <v>S</v>
      </c>
      <c r="O19" s="2" t="str">
        <f>IF(C19=Stand!C19,"S","H")</f>
        <v>S</v>
      </c>
      <c r="P19" s="2" t="str">
        <f>IF(D19=Stand!D19,"S","H")</f>
        <v>S</v>
      </c>
      <c r="Q19" s="2" t="str">
        <f>IF(E19=Stand!E19,"S","H")</f>
        <v>S</v>
      </c>
      <c r="R19" s="2" t="str">
        <f>IF(F19=Stand!F19,"S","H")</f>
        <v>S</v>
      </c>
      <c r="S19" s="2" t="str">
        <f>IF(G19=Stand!G19,"S","H")</f>
        <v>S</v>
      </c>
      <c r="T19" s="2" t="str">
        <f>IF(H19=Stand!H19,"S","H")</f>
        <v>S</v>
      </c>
      <c r="U19" s="2" t="str">
        <f>IF(I19=Stand!I19,"S","H")</f>
        <v>S</v>
      </c>
      <c r="V19" s="2" t="str">
        <f>IF(J19=Stand!J19,"S","H")</f>
        <v>S</v>
      </c>
      <c r="W19" s="2" t="str">
        <f>IF(K19=Stand!K19,"S","H")</f>
        <v>S</v>
      </c>
    </row>
    <row r="20" spans="1:23" ht="12.5" x14ac:dyDescent="0.25">
      <c r="A20" s="5">
        <v>22</v>
      </c>
      <c r="B20" s="5">
        <v>-1</v>
      </c>
      <c r="C20" s="5">
        <v>-1</v>
      </c>
      <c r="D20" s="5">
        <v>-1</v>
      </c>
      <c r="E20" s="5">
        <v>-1</v>
      </c>
      <c r="F20" s="5">
        <v>-1</v>
      </c>
      <c r="G20" s="5">
        <v>-1</v>
      </c>
      <c r="H20" s="5">
        <v>-1</v>
      </c>
      <c r="I20" s="5">
        <v>-1</v>
      </c>
      <c r="J20" s="5">
        <v>-1</v>
      </c>
      <c r="K20" s="5">
        <v>-1</v>
      </c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2.5" x14ac:dyDescent="0.25">
      <c r="A21" s="5">
        <v>23</v>
      </c>
      <c r="B21" s="5">
        <v>-1</v>
      </c>
      <c r="C21" s="5">
        <v>-1</v>
      </c>
      <c r="D21" s="5">
        <v>-1</v>
      </c>
      <c r="E21" s="5">
        <v>-1</v>
      </c>
      <c r="F21" s="5">
        <v>-1</v>
      </c>
      <c r="G21" s="5">
        <v>-1</v>
      </c>
      <c r="H21" s="5">
        <v>-1</v>
      </c>
      <c r="I21" s="5">
        <v>-1</v>
      </c>
      <c r="J21" s="5">
        <v>-1</v>
      </c>
      <c r="K21" s="5">
        <v>-1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2.5" x14ac:dyDescent="0.25">
      <c r="A22" s="5">
        <v>24</v>
      </c>
      <c r="B22" s="5">
        <v>-1</v>
      </c>
      <c r="C22" s="5">
        <v>-1</v>
      </c>
      <c r="D22" s="5">
        <v>-1</v>
      </c>
      <c r="E22" s="5">
        <v>-1</v>
      </c>
      <c r="F22" s="5">
        <v>-1</v>
      </c>
      <c r="G22" s="5">
        <v>-1</v>
      </c>
      <c r="H22" s="5">
        <v>-1</v>
      </c>
      <c r="I22" s="5">
        <v>-1</v>
      </c>
      <c r="J22" s="5">
        <v>-1</v>
      </c>
      <c r="K22" s="5">
        <v>-1</v>
      </c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2.5" x14ac:dyDescent="0.25">
      <c r="A23" s="5">
        <v>25</v>
      </c>
      <c r="B23" s="5">
        <v>-1</v>
      </c>
      <c r="C23" s="5">
        <v>-1</v>
      </c>
      <c r="D23" s="5">
        <v>-1</v>
      </c>
      <c r="E23" s="5">
        <v>-1</v>
      </c>
      <c r="F23" s="5">
        <v>-1</v>
      </c>
      <c r="G23" s="5">
        <v>-1</v>
      </c>
      <c r="H23" s="5">
        <v>-1</v>
      </c>
      <c r="I23" s="5">
        <v>-1</v>
      </c>
      <c r="J23" s="5">
        <v>-1</v>
      </c>
      <c r="K23" s="5">
        <v>-1</v>
      </c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2.5" x14ac:dyDescent="0.25">
      <c r="A24" s="5">
        <v>26</v>
      </c>
      <c r="B24" s="5">
        <v>-1</v>
      </c>
      <c r="C24" s="5">
        <v>-1</v>
      </c>
      <c r="D24" s="5">
        <v>-1</v>
      </c>
      <c r="E24" s="5">
        <v>-1</v>
      </c>
      <c r="F24" s="5">
        <v>-1</v>
      </c>
      <c r="G24" s="5">
        <v>-1</v>
      </c>
      <c r="H24" s="5">
        <v>-1</v>
      </c>
      <c r="I24" s="5">
        <v>-1</v>
      </c>
      <c r="J24" s="5">
        <v>-1</v>
      </c>
      <c r="K24" s="5">
        <v>-1</v>
      </c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2.5" x14ac:dyDescent="0.25">
      <c r="A25" s="5">
        <v>27</v>
      </c>
      <c r="B25" s="5">
        <v>-1</v>
      </c>
      <c r="C25" s="5">
        <v>-1</v>
      </c>
      <c r="D25" s="5">
        <v>-1</v>
      </c>
      <c r="E25" s="5">
        <v>-1</v>
      </c>
      <c r="F25" s="5">
        <v>-1</v>
      </c>
      <c r="G25" s="5">
        <v>-1</v>
      </c>
      <c r="H25" s="5">
        <v>-1</v>
      </c>
      <c r="I25" s="5">
        <v>-1</v>
      </c>
      <c r="J25" s="5">
        <v>-1</v>
      </c>
      <c r="K25" s="5">
        <v>-1</v>
      </c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2.5" x14ac:dyDescent="0.25">
      <c r="A26" s="5">
        <v>28</v>
      </c>
      <c r="B26" s="5">
        <v>-1</v>
      </c>
      <c r="C26" s="5">
        <v>-1</v>
      </c>
      <c r="D26" s="5">
        <v>-1</v>
      </c>
      <c r="E26" s="5">
        <v>-1</v>
      </c>
      <c r="F26" s="5">
        <v>-1</v>
      </c>
      <c r="G26" s="5">
        <v>-1</v>
      </c>
      <c r="H26" s="5">
        <v>-1</v>
      </c>
      <c r="I26" s="5">
        <v>-1</v>
      </c>
      <c r="J26" s="5">
        <v>-1</v>
      </c>
      <c r="K26" s="5">
        <v>-1</v>
      </c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2.5" x14ac:dyDescent="0.25">
      <c r="A27" s="5">
        <v>29</v>
      </c>
      <c r="B27" s="5">
        <v>-1</v>
      </c>
      <c r="C27" s="5">
        <v>-1</v>
      </c>
      <c r="D27" s="5">
        <v>-1</v>
      </c>
      <c r="E27" s="5">
        <v>-1</v>
      </c>
      <c r="F27" s="5">
        <v>-1</v>
      </c>
      <c r="G27" s="5">
        <v>-1</v>
      </c>
      <c r="H27" s="5">
        <v>-1</v>
      </c>
      <c r="I27" s="5">
        <v>-1</v>
      </c>
      <c r="J27" s="5">
        <v>-1</v>
      </c>
      <c r="K27" s="5">
        <v>-1</v>
      </c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2.5" x14ac:dyDescent="0.25">
      <c r="A28" s="5">
        <v>30</v>
      </c>
      <c r="B28" s="5">
        <v>-1</v>
      </c>
      <c r="C28" s="5">
        <v>-1</v>
      </c>
      <c r="D28" s="5">
        <v>-1</v>
      </c>
      <c r="E28" s="5">
        <v>-1</v>
      </c>
      <c r="F28" s="5">
        <v>-1</v>
      </c>
      <c r="G28" s="5">
        <v>-1</v>
      </c>
      <c r="H28" s="5">
        <v>-1</v>
      </c>
      <c r="I28" s="5">
        <v>-1</v>
      </c>
      <c r="J28" s="5">
        <v>-1</v>
      </c>
      <c r="K28" s="5">
        <v>-1</v>
      </c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2.5" x14ac:dyDescent="0.25">
      <c r="A29" s="5">
        <v>31</v>
      </c>
      <c r="B29" s="5">
        <v>-1</v>
      </c>
      <c r="C29" s="5">
        <v>-1</v>
      </c>
      <c r="D29" s="5">
        <v>-1</v>
      </c>
      <c r="E29" s="5">
        <v>-1</v>
      </c>
      <c r="F29" s="5">
        <v>-1</v>
      </c>
      <c r="G29" s="5">
        <v>-1</v>
      </c>
      <c r="H29" s="5">
        <v>-1</v>
      </c>
      <c r="I29" s="5">
        <v>-1</v>
      </c>
      <c r="J29" s="5">
        <v>-1</v>
      </c>
      <c r="K29" s="5">
        <v>-1</v>
      </c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2.5" x14ac:dyDescent="0.25"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2.5" x14ac:dyDescent="0.25">
      <c r="A31" s="5" t="s">
        <v>6</v>
      </c>
      <c r="M31" s="5" t="s">
        <v>6</v>
      </c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2.5" x14ac:dyDescent="0.25">
      <c r="A32" s="5">
        <v>12</v>
      </c>
      <c r="B32" s="5">
        <f>MAX(Hit!B32,Stand!B32)</f>
        <v>8.1836216051656058E-2</v>
      </c>
      <c r="C32" s="5">
        <f>MAX(Hit!C32,Stand!C32)</f>
        <v>0.10350704654207775</v>
      </c>
      <c r="D32" s="5">
        <f>MAX(Hit!D32,Stand!D32)</f>
        <v>0.12659562809256977</v>
      </c>
      <c r="E32" s="5">
        <f>MAX(Hit!E32,Stand!E32)</f>
        <v>0.15648238458465519</v>
      </c>
      <c r="F32" s="5">
        <f>MAX(Hit!F32,Stand!F32)</f>
        <v>0.18595361333225555</v>
      </c>
      <c r="G32" s="5">
        <f>MAX(Hit!G32,Stand!G32)</f>
        <v>0.16547293077063494</v>
      </c>
      <c r="H32" s="5">
        <f>MAX(Hit!H32,Stand!H32)</f>
        <v>9.5115020927032307E-2</v>
      </c>
      <c r="I32" s="5">
        <f>MAX(Hit!I32,Stand!I32)</f>
        <v>6.579084122688022E-5</v>
      </c>
      <c r="J32" s="5">
        <f>MAX(Hit!J32,Stand!J32)</f>
        <v>-7.0002397357964638E-2</v>
      </c>
      <c r="K32" s="5">
        <f>MAX(Hit!K32,Stand!K32)</f>
        <v>-2.0477877704912145E-2</v>
      </c>
      <c r="M32" s="5">
        <v>12</v>
      </c>
      <c r="N32" s="2" t="str">
        <f>IF(B32=Stand!B32,"S","H")</f>
        <v>H</v>
      </c>
      <c r="O32" s="2" t="str">
        <f>IF(C32=Stand!C32,"S","H")</f>
        <v>H</v>
      </c>
      <c r="P32" s="2" t="str">
        <f>IF(D32=Stand!D32,"S","H")</f>
        <v>H</v>
      </c>
      <c r="Q32" s="2" t="str">
        <f>IF(E32=Stand!E32,"S","H")</f>
        <v>H</v>
      </c>
      <c r="R32" s="2" t="str">
        <f>IF(F32=Stand!F32,"S","H")</f>
        <v>H</v>
      </c>
      <c r="S32" s="2" t="str">
        <f>IF(G32=Stand!G32,"S","H")</f>
        <v>H</v>
      </c>
      <c r="T32" s="2" t="str">
        <f>IF(H32=Stand!H32,"S","H")</f>
        <v>H</v>
      </c>
      <c r="U32" s="2" t="str">
        <f>IF(I32=Stand!I32,"S","H")</f>
        <v>H</v>
      </c>
      <c r="V32" s="2" t="str">
        <f>IF(J32=Stand!J32,"S","H")</f>
        <v>H</v>
      </c>
      <c r="W32" s="2" t="str">
        <f>IF(K32=Stand!K32,"S","H")</f>
        <v>H</v>
      </c>
    </row>
    <row r="33" spans="1:23" ht="12.5" x14ac:dyDescent="0.25">
      <c r="A33" s="5">
        <v>13</v>
      </c>
      <c r="B33" s="5">
        <f>MAX(Hit!B33,Stand!B33)</f>
        <v>4.6636132695309578E-2</v>
      </c>
      <c r="C33" s="5">
        <f>MAX(Hit!C33,Stand!C33)</f>
        <v>7.4118813392744051E-2</v>
      </c>
      <c r="D33" s="5">
        <f>MAX(Hit!D33,Stand!D33)</f>
        <v>0.10247714687203523</v>
      </c>
      <c r="E33" s="5">
        <f>MAX(Hit!E33,Stand!E33)</f>
        <v>0.13336273848321728</v>
      </c>
      <c r="F33" s="5">
        <f>MAX(Hit!F33,Stand!F33)</f>
        <v>0.16169271124923698</v>
      </c>
      <c r="G33" s="5">
        <f>MAX(Hit!G33,Stand!G33)</f>
        <v>0.12238569517899196</v>
      </c>
      <c r="H33" s="5">
        <f>MAX(Hit!H33,Stand!H33)</f>
        <v>5.4057070196311299E-2</v>
      </c>
      <c r="I33" s="5">
        <f>MAX(Hit!I33,Stand!I33)</f>
        <v>-3.7694688127479899E-2</v>
      </c>
      <c r="J33" s="5">
        <f>MAX(Hit!J33,Stand!J33)</f>
        <v>-0.10485135840627777</v>
      </c>
      <c r="K33" s="5">
        <f>MAX(Hit!K33,Stand!K33)</f>
        <v>-5.7308046666810254E-2</v>
      </c>
      <c r="M33" s="5">
        <v>13</v>
      </c>
      <c r="N33" s="2" t="str">
        <f>IF(B33=Stand!B33,"S","H")</f>
        <v>H</v>
      </c>
      <c r="O33" s="2" t="str">
        <f>IF(C33=Stand!C33,"S","H")</f>
        <v>H</v>
      </c>
      <c r="P33" s="2" t="str">
        <f>IF(D33=Stand!D33,"S","H")</f>
        <v>H</v>
      </c>
      <c r="Q33" s="2" t="str">
        <f>IF(E33=Stand!E33,"S","H")</f>
        <v>H</v>
      </c>
      <c r="R33" s="2" t="str">
        <f>IF(F33=Stand!F33,"S","H")</f>
        <v>H</v>
      </c>
      <c r="S33" s="2" t="str">
        <f>IF(G33=Stand!G33,"S","H")</f>
        <v>H</v>
      </c>
      <c r="T33" s="2" t="str">
        <f>IF(H33=Stand!H33,"S","H")</f>
        <v>H</v>
      </c>
      <c r="U33" s="2" t="str">
        <f>IF(I33=Stand!I33,"S","H")</f>
        <v>H</v>
      </c>
      <c r="V33" s="2" t="str">
        <f>IF(J33=Stand!J33,"S","H")</f>
        <v>H</v>
      </c>
      <c r="W33" s="2" t="str">
        <f>IF(K33=Stand!K33,"S","H")</f>
        <v>H</v>
      </c>
    </row>
    <row r="34" spans="1:23" ht="12.5" x14ac:dyDescent="0.25">
      <c r="A34" s="5">
        <v>14</v>
      </c>
      <c r="B34" s="5">
        <f>MAX(Hit!B34,Stand!B34)</f>
        <v>2.2391856987839083E-2</v>
      </c>
      <c r="C34" s="5">
        <f>MAX(Hit!C34,Stand!C34)</f>
        <v>5.0806738919282814E-2</v>
      </c>
      <c r="D34" s="5">
        <f>MAX(Hit!D34,Stand!D34)</f>
        <v>8.0081414310110233E-2</v>
      </c>
      <c r="E34" s="5">
        <f>MAX(Hit!E34,Stand!E34)</f>
        <v>0.11189449567473925</v>
      </c>
      <c r="F34" s="5">
        <f>MAX(Hit!F34,Stand!F34)</f>
        <v>0.13916473074357688</v>
      </c>
      <c r="G34" s="5">
        <f>MAX(Hit!G34,Stand!G34)</f>
        <v>7.9507488494468148E-2</v>
      </c>
      <c r="H34" s="5">
        <f>MAX(Hit!H34,Stand!H34)</f>
        <v>1.3277219463208461E-2</v>
      </c>
      <c r="I34" s="5">
        <f>MAX(Hit!I34,Stand!I34)</f>
        <v>-7.5163189441683848E-2</v>
      </c>
      <c r="J34" s="5">
        <f>MAX(Hit!J34,Stand!J34)</f>
        <v>-0.1394667821754545</v>
      </c>
      <c r="K34" s="5">
        <f>MAX(Hit!K34,Stand!K34)</f>
        <v>-9.3874324768310105E-2</v>
      </c>
      <c r="M34" s="5">
        <v>14</v>
      </c>
      <c r="N34" s="2" t="str">
        <f>IF(B34=Stand!B34,"S","H")</f>
        <v>H</v>
      </c>
      <c r="O34" s="2" t="str">
        <f>IF(C34=Stand!C34,"S","H")</f>
        <v>H</v>
      </c>
      <c r="P34" s="2" t="str">
        <f>IF(D34=Stand!D34,"S","H")</f>
        <v>H</v>
      </c>
      <c r="Q34" s="2" t="str">
        <f>IF(E34=Stand!E34,"S","H")</f>
        <v>H</v>
      </c>
      <c r="R34" s="2" t="str">
        <f>IF(F34=Stand!F34,"S","H")</f>
        <v>H</v>
      </c>
      <c r="S34" s="2" t="str">
        <f>IF(G34=Stand!G34,"S","H")</f>
        <v>H</v>
      </c>
      <c r="T34" s="2" t="str">
        <f>IF(H34=Stand!H34,"S","H")</f>
        <v>H</v>
      </c>
      <c r="U34" s="2" t="str">
        <f>IF(I34=Stand!I34,"S","H")</f>
        <v>H</v>
      </c>
      <c r="V34" s="2" t="str">
        <f>IF(J34=Stand!J34,"S","H")</f>
        <v>H</v>
      </c>
      <c r="W34" s="2" t="str">
        <f>IF(K34=Stand!K34,"S","H")</f>
        <v>H</v>
      </c>
    </row>
    <row r="35" spans="1:23" ht="12.5" x14ac:dyDescent="0.25">
      <c r="A35" s="5">
        <v>15</v>
      </c>
      <c r="B35" s="5">
        <f>MAX(Hit!B35,Stand!B35)</f>
        <v>-1.2068474052636583E-4</v>
      </c>
      <c r="C35" s="5">
        <f>MAX(Hit!C35,Stand!C35)</f>
        <v>2.9159812622497332E-2</v>
      </c>
      <c r="D35" s="5">
        <f>MAX(Hit!D35,Stand!D35)</f>
        <v>5.9285376931179926E-2</v>
      </c>
      <c r="E35" s="5">
        <f>MAX(Hit!E35,Stand!E35)</f>
        <v>9.1959698781152482E-2</v>
      </c>
      <c r="F35" s="5">
        <f>MAX(Hit!F35,Stand!F35)</f>
        <v>0.11824589170260678</v>
      </c>
      <c r="G35" s="5">
        <f>MAX(Hit!G35,Stand!G35)</f>
        <v>3.7028282279269235E-2</v>
      </c>
      <c r="H35" s="5">
        <f>MAX(Hit!H35,Stand!H35)</f>
        <v>-2.7054780502901658E-2</v>
      </c>
      <c r="I35" s="5">
        <f>MAX(Hit!I35,Stand!I35)</f>
        <v>-0.11218876868994292</v>
      </c>
      <c r="J35" s="5">
        <f>MAX(Hit!J35,Stand!J35)</f>
        <v>-0.17370423031226784</v>
      </c>
      <c r="K35" s="5">
        <f>MAX(Hit!K35,Stand!K35)</f>
        <v>-0.13002650167843849</v>
      </c>
      <c r="M35" s="5">
        <v>15</v>
      </c>
      <c r="N35" s="2" t="str">
        <f>IF(B35=Stand!B35,"S","H")</f>
        <v>H</v>
      </c>
      <c r="O35" s="2" t="str">
        <f>IF(C35=Stand!C35,"S","H")</f>
        <v>H</v>
      </c>
      <c r="P35" s="2" t="str">
        <f>IF(D35=Stand!D35,"S","H")</f>
        <v>H</v>
      </c>
      <c r="Q35" s="2" t="str">
        <f>IF(E35=Stand!E35,"S","H")</f>
        <v>H</v>
      </c>
      <c r="R35" s="2" t="str">
        <f>IF(F35=Stand!F35,"S","H")</f>
        <v>H</v>
      </c>
      <c r="S35" s="2" t="str">
        <f>IF(G35=Stand!G35,"S","H")</f>
        <v>H</v>
      </c>
      <c r="T35" s="2" t="str">
        <f>IF(H35=Stand!H35,"S","H")</f>
        <v>H</v>
      </c>
      <c r="U35" s="2" t="str">
        <f>IF(I35=Stand!I35,"S","H")</f>
        <v>H</v>
      </c>
      <c r="V35" s="2" t="str">
        <f>IF(J35=Stand!J35,"S","H")</f>
        <v>H</v>
      </c>
      <c r="W35" s="2" t="str">
        <f>IF(K35=Stand!K35,"S","H")</f>
        <v>H</v>
      </c>
    </row>
    <row r="36" spans="1:23" ht="12.5" x14ac:dyDescent="0.25">
      <c r="A36" s="5">
        <v>16</v>
      </c>
      <c r="B36" s="5">
        <f>MAX(Hit!B36,Stand!B36)</f>
        <v>-2.1025187774008566E-2</v>
      </c>
      <c r="C36" s="5">
        <f>MAX(Hit!C36,Stand!C36)</f>
        <v>9.0590953469108244E-3</v>
      </c>
      <c r="D36" s="5">
        <f>MAX(Hit!D36,Stand!D36)</f>
        <v>3.9974770793601705E-2</v>
      </c>
      <c r="E36" s="5">
        <f>MAX(Hit!E36,Stand!E36)</f>
        <v>7.3448815951393354E-2</v>
      </c>
      <c r="F36" s="5">
        <f>MAX(Hit!F36,Stand!F36)</f>
        <v>9.8821255450277409E-2</v>
      </c>
      <c r="G36" s="5">
        <f>MAX(Hit!G36,Stand!G36)</f>
        <v>-4.8901571730158942E-3</v>
      </c>
      <c r="H36" s="5">
        <f>MAX(Hit!H36,Stand!H36)</f>
        <v>-6.6794847920094089E-2</v>
      </c>
      <c r="I36" s="5">
        <f>MAX(Hit!I36,Stand!I36)</f>
        <v>-0.14864353463007476</v>
      </c>
      <c r="J36" s="5">
        <f>MAX(Hit!J36,Stand!J36)</f>
        <v>-0.20744109003068206</v>
      </c>
      <c r="K36" s="5">
        <f>MAX(Hit!K36,Stand!K36)</f>
        <v>-0.16563717206687348</v>
      </c>
      <c r="M36" s="5">
        <v>16</v>
      </c>
      <c r="N36" s="2" t="str">
        <f>IF(B36=Stand!B36,"S","H")</f>
        <v>H</v>
      </c>
      <c r="O36" s="2" t="str">
        <f>IF(C36=Stand!C36,"S","H")</f>
        <v>H</v>
      </c>
      <c r="P36" s="2" t="str">
        <f>IF(D36=Stand!D36,"S","H")</f>
        <v>H</v>
      </c>
      <c r="Q36" s="2" t="str">
        <f>IF(E36=Stand!E36,"S","H")</f>
        <v>H</v>
      </c>
      <c r="R36" s="2" t="str">
        <f>IF(F36=Stand!F36,"S","H")</f>
        <v>H</v>
      </c>
      <c r="S36" s="2" t="str">
        <f>IF(G36=Stand!G36,"S","H")</f>
        <v>H</v>
      </c>
      <c r="T36" s="2" t="str">
        <f>IF(H36=Stand!H36,"S","H")</f>
        <v>H</v>
      </c>
      <c r="U36" s="2" t="str">
        <f>IF(I36=Stand!I36,"S","H")</f>
        <v>H</v>
      </c>
      <c r="V36" s="2" t="str">
        <f>IF(J36=Stand!J36,"S","H")</f>
        <v>H</v>
      </c>
      <c r="W36" s="2" t="str">
        <f>IF(K36=Stand!K36,"S","H")</f>
        <v>H</v>
      </c>
    </row>
    <row r="37" spans="1:23" ht="12.5" x14ac:dyDescent="0.25">
      <c r="A37" s="5">
        <v>17</v>
      </c>
      <c r="B37" s="5">
        <f>MAX(Hit!B37,Stand!B37)</f>
        <v>-4.9104358288912882E-4</v>
      </c>
      <c r="C37" s="5">
        <f>MAX(Hit!C37,Stand!C37)</f>
        <v>2.8975282965620457E-2</v>
      </c>
      <c r="D37" s="5">
        <f>MAX(Hit!D37,Stand!D37)</f>
        <v>5.9326275337164343E-2</v>
      </c>
      <c r="E37" s="5">
        <f>MAX(Hit!E37,Stand!E37)</f>
        <v>9.1189077686774395E-2</v>
      </c>
      <c r="F37" s="5">
        <f>MAX(Hit!F37,Stand!F37)</f>
        <v>0.12805214364549911</v>
      </c>
      <c r="G37" s="5">
        <f>MAX(Hit!G37,Stand!G37)</f>
        <v>5.3823463716116654E-2</v>
      </c>
      <c r="H37" s="5">
        <f>MAX(Hit!H37,Stand!H37)</f>
        <v>-7.2915398729642061E-2</v>
      </c>
      <c r="I37" s="5">
        <f>MAX(Hit!I37,Stand!I37)</f>
        <v>-0.14978689218213329</v>
      </c>
      <c r="J37" s="5">
        <f>MAX(Hit!J37,Stand!J37)</f>
        <v>-0.19686697623363469</v>
      </c>
      <c r="K37" s="5">
        <f>MAX(Hit!K37,Stand!K37)</f>
        <v>-0.17956936979241733</v>
      </c>
      <c r="M37" s="5">
        <v>17</v>
      </c>
      <c r="N37" s="2" t="str">
        <f>IF(B37=Stand!B37,"S","H")</f>
        <v>H</v>
      </c>
      <c r="O37" s="2" t="str">
        <f>IF(C37=Stand!C37,"S","H")</f>
        <v>H</v>
      </c>
      <c r="P37" s="2" t="str">
        <f>IF(D37=Stand!D37,"S","H")</f>
        <v>H</v>
      </c>
      <c r="Q37" s="2" t="str">
        <f>IF(E37=Stand!E37,"S","H")</f>
        <v>H</v>
      </c>
      <c r="R37" s="2" t="str">
        <f>IF(F37=Stand!F37,"S","H")</f>
        <v>H</v>
      </c>
      <c r="S37" s="2" t="str">
        <f>IF(G37=Stand!G37,"S","H")</f>
        <v>H</v>
      </c>
      <c r="T37" s="2" t="str">
        <f>IF(H37=Stand!H37,"S","H")</f>
        <v>H</v>
      </c>
      <c r="U37" s="2" t="str">
        <f>IF(I37=Stand!I37,"S","H")</f>
        <v>H</v>
      </c>
      <c r="V37" s="2" t="str">
        <f>IF(J37=Stand!J37,"S","H")</f>
        <v>H</v>
      </c>
      <c r="W37" s="2" t="str">
        <f>IF(K37=Stand!K37,"S","H")</f>
        <v>H</v>
      </c>
    </row>
    <row r="38" spans="1:23" ht="12.5" x14ac:dyDescent="0.25">
      <c r="A38" s="5">
        <v>18</v>
      </c>
      <c r="B38" s="5">
        <f>MAX(Hit!B38,Stand!B38)</f>
        <v>0.12174190222088771</v>
      </c>
      <c r="C38" s="5">
        <f>MAX(Hit!C38,Stand!C38)</f>
        <v>0.14830007284131114</v>
      </c>
      <c r="D38" s="5">
        <f>MAX(Hit!D38,Stand!D38)</f>
        <v>0.17585443719748528</v>
      </c>
      <c r="E38" s="5">
        <f>MAX(Hit!E38,Stand!E38)</f>
        <v>0.19956119497617719</v>
      </c>
      <c r="F38" s="5">
        <f>MAX(Hit!F38,Stand!F38)</f>
        <v>0.28344391604689867</v>
      </c>
      <c r="G38" s="5">
        <f>MAX(Hit!G38,Stand!G38)</f>
        <v>0.3995541673365518</v>
      </c>
      <c r="H38" s="5">
        <f>MAX(Hit!H38,Stand!H38)</f>
        <v>0.10595134861912359</v>
      </c>
      <c r="I38" s="5">
        <f>MAX(Hit!I38,Stand!I38)</f>
        <v>-0.10074430758041525</v>
      </c>
      <c r="J38" s="5">
        <f>MAX(Hit!J38,Stand!J38)</f>
        <v>-0.14380812317405353</v>
      </c>
      <c r="K38" s="5">
        <f>MAX(Hit!K38,Stand!K38)</f>
        <v>-9.2935491769284034E-2</v>
      </c>
      <c r="M38" s="5">
        <v>18</v>
      </c>
      <c r="N38" s="2" t="str">
        <f>IF(B38=Stand!B38,"S","H")</f>
        <v>S</v>
      </c>
      <c r="O38" s="2" t="str">
        <f>IF(C38=Stand!C38,"S","H")</f>
        <v>S</v>
      </c>
      <c r="P38" s="2" t="str">
        <f>IF(D38=Stand!D38,"S","H")</f>
        <v>S</v>
      </c>
      <c r="Q38" s="2" t="str">
        <f>IF(E38=Stand!E38,"S","H")</f>
        <v>S</v>
      </c>
      <c r="R38" s="2" t="str">
        <f>IF(F38=Stand!F38,"S","H")</f>
        <v>S</v>
      </c>
      <c r="S38" s="2" t="str">
        <f>IF(G38=Stand!G38,"S","H")</f>
        <v>S</v>
      </c>
      <c r="T38" s="2" t="str">
        <f>IF(H38=Stand!H38,"S","H")</f>
        <v>S</v>
      </c>
      <c r="U38" s="2" t="str">
        <f>IF(I38=Stand!I38,"S","H")</f>
        <v>H</v>
      </c>
      <c r="V38" s="2" t="str">
        <f>IF(J38=Stand!J38,"S","H")</f>
        <v>H</v>
      </c>
      <c r="W38" s="2" t="str">
        <f>IF(K38=Stand!K38,"S","H")</f>
        <v>H</v>
      </c>
    </row>
    <row r="39" spans="1:23" ht="12.5" x14ac:dyDescent="0.25">
      <c r="A39" s="5">
        <v>19</v>
      </c>
      <c r="B39" s="5">
        <f>MAX(Hit!B39,Stand!B39)</f>
        <v>0.38630468602058993</v>
      </c>
      <c r="C39" s="5">
        <f>MAX(Hit!C39,Stand!C39)</f>
        <v>0.4043629365977599</v>
      </c>
      <c r="D39" s="5">
        <f>MAX(Hit!D39,Stand!D39)</f>
        <v>0.42317892482749653</v>
      </c>
      <c r="E39" s="5">
        <f>MAX(Hit!E39,Stand!E39)</f>
        <v>0.43951210416088371</v>
      </c>
      <c r="F39" s="5">
        <f>MAX(Hit!F39,Stand!F39)</f>
        <v>0.49597707378731926</v>
      </c>
      <c r="G39" s="5">
        <f>MAX(Hit!G39,Stand!G39)</f>
        <v>0.6159764957534315</v>
      </c>
      <c r="H39" s="5">
        <f>MAX(Hit!H39,Stand!H39)</f>
        <v>0.59385366828669439</v>
      </c>
      <c r="I39" s="5">
        <f>MAX(Hit!I39,Stand!I39)</f>
        <v>0.28759675706758148</v>
      </c>
      <c r="J39" s="5">
        <f>MAX(Hit!J39,Stand!J39)</f>
        <v>6.3118166335840831E-2</v>
      </c>
      <c r="K39" s="5">
        <f>MAX(Hit!K39,Stand!K39)</f>
        <v>0.27763572376835594</v>
      </c>
      <c r="M39" s="5">
        <v>19</v>
      </c>
      <c r="N39" s="2" t="str">
        <f>IF(B39=Stand!B39,"S","H")</f>
        <v>S</v>
      </c>
      <c r="O39" s="2" t="str">
        <f>IF(C39=Stand!C39,"S","H")</f>
        <v>S</v>
      </c>
      <c r="P39" s="2" t="str">
        <f>IF(D39=Stand!D39,"S","H")</f>
        <v>S</v>
      </c>
      <c r="Q39" s="2" t="str">
        <f>IF(E39=Stand!E39,"S","H")</f>
        <v>S</v>
      </c>
      <c r="R39" s="2" t="str">
        <f>IF(F39=Stand!F39,"S","H")</f>
        <v>S</v>
      </c>
      <c r="S39" s="2" t="str">
        <f>IF(G39=Stand!G39,"S","H")</f>
        <v>S</v>
      </c>
      <c r="T39" s="2" t="str">
        <f>IF(H39=Stand!H39,"S","H")</f>
        <v>S</v>
      </c>
      <c r="U39" s="2" t="str">
        <f>IF(I39=Stand!I39,"S","H")</f>
        <v>S</v>
      </c>
      <c r="V39" s="2" t="str">
        <f>IF(J39=Stand!J39,"S","H")</f>
        <v>S</v>
      </c>
      <c r="W39" s="2" t="str">
        <f>IF(K39=Stand!K39,"S","H")</f>
        <v>S</v>
      </c>
    </row>
    <row r="40" spans="1:23" ht="12.5" x14ac:dyDescent="0.25">
      <c r="A40" s="5">
        <v>20</v>
      </c>
      <c r="B40" s="5">
        <f>MAX(Hit!B40,Stand!B40)</f>
        <v>0.63998657521683877</v>
      </c>
      <c r="C40" s="5">
        <f>MAX(Hit!C40,Stand!C40)</f>
        <v>0.65027209425148136</v>
      </c>
      <c r="D40" s="5">
        <f>MAX(Hit!D40,Stand!D40)</f>
        <v>0.66104996194807186</v>
      </c>
      <c r="E40" s="5">
        <f>MAX(Hit!E40,Stand!E40)</f>
        <v>0.67035969063279999</v>
      </c>
      <c r="F40" s="5">
        <f>MAX(Hit!F40,Stand!F40)</f>
        <v>0.70395857017134467</v>
      </c>
      <c r="G40" s="5">
        <f>MAX(Hit!G40,Stand!G40)</f>
        <v>0.77322722653717491</v>
      </c>
      <c r="H40" s="5">
        <f>MAX(Hit!H40,Stand!H40)</f>
        <v>0.79181515955189841</v>
      </c>
      <c r="I40" s="5">
        <f>MAX(Hit!I40,Stand!I40)</f>
        <v>0.75835687080859615</v>
      </c>
      <c r="J40" s="5">
        <f>MAX(Hit!J40,Stand!J40)</f>
        <v>0.55453756646817121</v>
      </c>
      <c r="K40" s="5">
        <f>MAX(Hit!K40,Stand!K40)</f>
        <v>0.65547032314990239</v>
      </c>
      <c r="M40" s="5">
        <v>20</v>
      </c>
      <c r="N40" s="2" t="str">
        <f>IF(B40=Stand!B40,"S","H")</f>
        <v>S</v>
      </c>
      <c r="O40" s="2" t="str">
        <f>IF(C40=Stand!C40,"S","H")</f>
        <v>S</v>
      </c>
      <c r="P40" s="2" t="str">
        <f>IF(D40=Stand!D40,"S","H")</f>
        <v>S</v>
      </c>
      <c r="Q40" s="2" t="str">
        <f>IF(E40=Stand!E40,"S","H")</f>
        <v>S</v>
      </c>
      <c r="R40" s="2" t="str">
        <f>IF(F40=Stand!F40,"S","H")</f>
        <v>S</v>
      </c>
      <c r="S40" s="2" t="str">
        <f>IF(G40=Stand!G40,"S","H")</f>
        <v>S</v>
      </c>
      <c r="T40" s="2" t="str">
        <f>IF(H40=Stand!H40,"S","H")</f>
        <v>S</v>
      </c>
      <c r="U40" s="2" t="str">
        <f>IF(I40=Stand!I40,"S","H")</f>
        <v>S</v>
      </c>
      <c r="V40" s="2" t="str">
        <f>IF(J40=Stand!J40,"S","H")</f>
        <v>S</v>
      </c>
      <c r="W40" s="2" t="str">
        <f>IF(K40=Stand!K40,"S","H")</f>
        <v>S</v>
      </c>
    </row>
    <row r="41" spans="1:23" ht="12.5" x14ac:dyDescent="0.25">
      <c r="A41" s="5">
        <v>21</v>
      </c>
      <c r="B41" s="5">
        <f>MAX(Hit!B41,Stand!B41)</f>
        <v>0.88200651549403997</v>
      </c>
      <c r="C41" s="5">
        <f>MAX(Hit!C41,Stand!C41)</f>
        <v>0.88530035730174927</v>
      </c>
      <c r="D41" s="5">
        <f>MAX(Hit!D41,Stand!D41)</f>
        <v>0.88876729296591961</v>
      </c>
      <c r="E41" s="5">
        <f>MAX(Hit!E41,Stand!E41)</f>
        <v>0.89175382659528035</v>
      </c>
      <c r="F41" s="5">
        <f>MAX(Hit!F41,Stand!F41)</f>
        <v>0.90283674384258006</v>
      </c>
      <c r="G41" s="5">
        <f>MAX(Hit!G41,Stand!G41)</f>
        <v>0.92592629596452325</v>
      </c>
      <c r="H41" s="5">
        <f>MAX(Hit!H41,Stand!H41)</f>
        <v>0.93060505318396614</v>
      </c>
      <c r="I41" s="5">
        <f>MAX(Hit!I41,Stand!I41)</f>
        <v>0.93917615614724415</v>
      </c>
      <c r="J41" s="5">
        <f>MAX(Hit!J41,Stand!J41)</f>
        <v>0.96262363326716827</v>
      </c>
      <c r="K41" s="5">
        <f>MAX(Hit!K41,Stand!K41)</f>
        <v>0.92219381142033785</v>
      </c>
      <c r="M41" s="5">
        <v>21</v>
      </c>
      <c r="N41" s="2" t="str">
        <f>IF(B41=Stand!B41,"S","H")</f>
        <v>S</v>
      </c>
      <c r="O41" s="2" t="str">
        <f>IF(C41=Stand!C41,"S","H")</f>
        <v>S</v>
      </c>
      <c r="P41" s="2" t="str">
        <f>IF(D41=Stand!D41,"S","H")</f>
        <v>S</v>
      </c>
      <c r="Q41" s="2" t="str">
        <f>IF(E41=Stand!E41,"S","H")</f>
        <v>S</v>
      </c>
      <c r="R41" s="2" t="str">
        <f>IF(F41=Stand!F41,"S","H")</f>
        <v>S</v>
      </c>
      <c r="S41" s="2" t="str">
        <f>IF(G41=Stand!G41,"S","H")</f>
        <v>S</v>
      </c>
      <c r="T41" s="2" t="str">
        <f>IF(H41=Stand!H41,"S","H")</f>
        <v>S</v>
      </c>
      <c r="U41" s="2" t="str">
        <f>IF(I41=Stand!I41,"S","H")</f>
        <v>S</v>
      </c>
      <c r="V41" s="2" t="str">
        <f>IF(J41=Stand!J41,"S","H")</f>
        <v>S</v>
      </c>
      <c r="W41" s="2" t="str">
        <f>IF(K41=Stand!K41,"S","H")</f>
        <v>S</v>
      </c>
    </row>
    <row r="42" spans="1:23" ht="12.5" x14ac:dyDescent="0.25">
      <c r="A42" s="5">
        <v>22</v>
      </c>
      <c r="B42" s="5">
        <f>MAX(Hit!B42,Stand!B42)</f>
        <v>-0.25338998596663803</v>
      </c>
      <c r="C42" s="5">
        <f>MAX(Hit!C42,Stand!C42)</f>
        <v>-0.2336908997980866</v>
      </c>
      <c r="D42" s="5">
        <f>MAX(Hit!D42,Stand!D42)</f>
        <v>-0.21106310899491437</v>
      </c>
      <c r="E42" s="5">
        <f>MAX(Hit!E42,Stand!E42)</f>
        <v>-0.16719266083547524</v>
      </c>
      <c r="F42" s="5">
        <f>MAX(Hit!F42,Stand!F42)</f>
        <v>-0.15369901583000439</v>
      </c>
      <c r="G42" s="5">
        <f>MAX(Hit!G42,Stand!G42)</f>
        <v>-0.21284771451731427</v>
      </c>
      <c r="H42" s="5">
        <f>MAX(Hit!H42,Stand!H42)</f>
        <v>-0.27157480502428616</v>
      </c>
      <c r="I42" s="5">
        <f>MAX(Hit!I42,Stand!I42)</f>
        <v>-0.3400132806089356</v>
      </c>
      <c r="J42" s="5">
        <f>MAX(Hit!J42,Stand!J42)</f>
        <v>-0.38104299284808757</v>
      </c>
      <c r="K42" s="5">
        <f>MAX(Hit!K42,Stand!K42)</f>
        <v>-0.35054034044008009</v>
      </c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2.5" x14ac:dyDescent="0.25">
      <c r="A43" s="5">
        <v>23</v>
      </c>
      <c r="B43" s="5">
        <f>MAX(Hit!B43,Stand!B43)</f>
        <v>-0.29278372720927726</v>
      </c>
      <c r="C43" s="5">
        <f>MAX(Hit!C43,Stand!C43)</f>
        <v>-0.2522502292357135</v>
      </c>
      <c r="D43" s="5">
        <f>MAX(Hit!D43,Stand!D43)</f>
        <v>-0.21106310899491437</v>
      </c>
      <c r="E43" s="5">
        <f>MAX(Hit!E43,Stand!E43)</f>
        <v>-0.16719266083547524</v>
      </c>
      <c r="F43" s="5">
        <f>MAX(Hit!F43,Stand!F43)</f>
        <v>-0.15369901583000439</v>
      </c>
      <c r="G43" s="5">
        <f>MAX(Hit!G43,Stand!G43)</f>
        <v>-0.26907287776607752</v>
      </c>
      <c r="H43" s="5">
        <f>MAX(Hit!H43,Stand!H43)</f>
        <v>-0.32360517609397998</v>
      </c>
      <c r="I43" s="5">
        <f>MAX(Hit!I43,Stand!I43)</f>
        <v>-0.38715518913686875</v>
      </c>
      <c r="J43" s="5">
        <f>MAX(Hit!J43,Stand!J43)</f>
        <v>-0.42525420764465277</v>
      </c>
      <c r="K43" s="5">
        <f>MAX(Hit!K43,Stand!K43)</f>
        <v>-0.3969303161229315</v>
      </c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2.5" x14ac:dyDescent="0.25">
      <c r="A44" s="5">
        <v>24</v>
      </c>
      <c r="B44" s="5">
        <f>MAX(Hit!B44,Stand!B44)</f>
        <v>-0.29278372720927726</v>
      </c>
      <c r="C44" s="5">
        <f>MAX(Hit!C44,Stand!C44)</f>
        <v>-0.2522502292357135</v>
      </c>
      <c r="D44" s="5">
        <f>MAX(Hit!D44,Stand!D44)</f>
        <v>-0.21106310899491437</v>
      </c>
      <c r="E44" s="5">
        <f>MAX(Hit!E44,Stand!E44)</f>
        <v>-0.16719266083547524</v>
      </c>
      <c r="F44" s="5">
        <f>MAX(Hit!F44,Stand!F44)</f>
        <v>-0.15369901583000439</v>
      </c>
      <c r="G44" s="5">
        <f>MAX(Hit!G44,Stand!G44)</f>
        <v>-0.3212819579256434</v>
      </c>
      <c r="H44" s="5">
        <f>MAX(Hit!H44,Stand!H44)</f>
        <v>-0.37191909208726709</v>
      </c>
      <c r="I44" s="5">
        <f>MAX(Hit!I44,Stand!I44)</f>
        <v>-0.43092981848423528</v>
      </c>
      <c r="J44" s="5">
        <f>MAX(Hit!J44,Stand!J44)</f>
        <v>-0.46630747852717758</v>
      </c>
      <c r="K44" s="5">
        <f>MAX(Hit!K44,Stand!K44)</f>
        <v>-0.44000672211415065</v>
      </c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2.5" x14ac:dyDescent="0.25">
      <c r="A45" s="5">
        <v>25</v>
      </c>
      <c r="B45" s="5">
        <f>MAX(Hit!B45,Stand!B45)</f>
        <v>-0.29278372720927726</v>
      </c>
      <c r="C45" s="5">
        <f>MAX(Hit!C45,Stand!C45)</f>
        <v>-0.2522502292357135</v>
      </c>
      <c r="D45" s="5">
        <f>MAX(Hit!D45,Stand!D45)</f>
        <v>-0.21106310899491437</v>
      </c>
      <c r="E45" s="5">
        <f>MAX(Hit!E45,Stand!E45)</f>
        <v>-0.16719266083547524</v>
      </c>
      <c r="F45" s="5">
        <f>MAX(Hit!F45,Stand!F45)</f>
        <v>-0.15369901583000439</v>
      </c>
      <c r="G45" s="5">
        <f>MAX(Hit!G45,Stand!G45)</f>
        <v>-0.36976181807381175</v>
      </c>
      <c r="H45" s="5">
        <f>MAX(Hit!H45,Stand!H45)</f>
        <v>-0.41678201408103371</v>
      </c>
      <c r="I45" s="5">
        <f>MAX(Hit!I45,Stand!I45)</f>
        <v>-0.47157768859250421</v>
      </c>
      <c r="J45" s="5">
        <f>MAX(Hit!J45,Stand!J45)</f>
        <v>-0.5044283729180935</v>
      </c>
      <c r="K45" s="5">
        <f>MAX(Hit!K45,Stand!K45)</f>
        <v>-0.4800062419631399</v>
      </c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2.5" x14ac:dyDescent="0.25">
      <c r="A46" s="5">
        <v>26</v>
      </c>
      <c r="B46" s="5">
        <f>MAX(Hit!B46,Stand!B46)</f>
        <v>-0.29278372720927726</v>
      </c>
      <c r="C46" s="5">
        <f>MAX(Hit!C46,Stand!C46)</f>
        <v>-0.2522502292357135</v>
      </c>
      <c r="D46" s="5">
        <f>MAX(Hit!D46,Stand!D46)</f>
        <v>-0.21106310899491437</v>
      </c>
      <c r="E46" s="5">
        <f>MAX(Hit!E46,Stand!E46)</f>
        <v>-0.16719266083547524</v>
      </c>
      <c r="F46" s="5">
        <f>MAX(Hit!F46,Stand!F46)</f>
        <v>-0.15369901583000439</v>
      </c>
      <c r="G46" s="5">
        <f>MAX(Hit!G46,Stand!G46)</f>
        <v>-0.41477883106853947</v>
      </c>
      <c r="H46" s="5">
        <f>MAX(Hit!H46,Stand!H46)</f>
        <v>-0.45844044164667419</v>
      </c>
      <c r="I46" s="5">
        <f>MAX(Hit!I46,Stand!I46)</f>
        <v>-0.50932213940732529</v>
      </c>
      <c r="J46" s="5">
        <f>MAX(Hit!J46,Stand!J46)</f>
        <v>-0.53982634628108683</v>
      </c>
      <c r="K46" s="5">
        <f>MAX(Hit!K46,Stand!K46)</f>
        <v>-0.51714865325148707</v>
      </c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2.5" x14ac:dyDescent="0.25">
      <c r="A47" s="5">
        <v>27</v>
      </c>
      <c r="B47" s="5">
        <f>MAX(Hit!B47,Stand!B47)</f>
        <v>-0.15297458768154204</v>
      </c>
      <c r="C47" s="5">
        <f>MAX(Hit!C47,Stand!C47)</f>
        <v>-0.11721624142457365</v>
      </c>
      <c r="D47" s="5">
        <f>MAX(Hit!D47,Stand!D47)</f>
        <v>-8.0573373145316152E-2</v>
      </c>
      <c r="E47" s="5">
        <f>MAX(Hit!E47,Stand!E47)</f>
        <v>-4.4941375564924446E-2</v>
      </c>
      <c r="F47" s="5">
        <f>MAX(Hit!F47,Stand!F47)</f>
        <v>1.1739160673341964E-2</v>
      </c>
      <c r="G47" s="5">
        <f>MAX(Hit!G47,Stand!G47)</f>
        <v>-0.10680898948269468</v>
      </c>
      <c r="H47" s="5">
        <f>MAX(Hit!H47,Stand!H47)</f>
        <v>-0.38195097104844711</v>
      </c>
      <c r="I47" s="5">
        <f>MAX(Hit!I47,Stand!I47)</f>
        <v>-0.42315423964521748</v>
      </c>
      <c r="J47" s="5">
        <f>MAX(Hit!J47,Stand!J47)</f>
        <v>-0.41972063392881986</v>
      </c>
      <c r="K47" s="5">
        <f>MAX(Hit!K47,Stand!K47)</f>
        <v>-0.47803347499473703</v>
      </c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2.5" x14ac:dyDescent="0.25">
      <c r="A48" s="5">
        <v>28</v>
      </c>
      <c r="B48" s="5">
        <f>MAX(Hit!B48,Stand!B48)</f>
        <v>0.12174190222088771</v>
      </c>
      <c r="C48" s="5">
        <f>MAX(Hit!C48,Stand!C48)</f>
        <v>0.14830007284131114</v>
      </c>
      <c r="D48" s="5">
        <f>MAX(Hit!D48,Stand!D48)</f>
        <v>0.17585443719748528</v>
      </c>
      <c r="E48" s="5">
        <f>MAX(Hit!E48,Stand!E48)</f>
        <v>0.19956119497617719</v>
      </c>
      <c r="F48" s="5">
        <f>MAX(Hit!F48,Stand!F48)</f>
        <v>0.28344391604689867</v>
      </c>
      <c r="G48" s="5">
        <f>MAX(Hit!G48,Stand!G48)</f>
        <v>0.3995541673365518</v>
      </c>
      <c r="H48" s="5">
        <f>MAX(Hit!H48,Stand!H48)</f>
        <v>0.10595134861912359</v>
      </c>
      <c r="I48" s="5">
        <f>MAX(Hit!I48,Stand!I48)</f>
        <v>-0.18316335667343342</v>
      </c>
      <c r="J48" s="5">
        <f>MAX(Hit!J48,Stand!J48)</f>
        <v>-0.17830123379648949</v>
      </c>
      <c r="K48" s="5">
        <f>MAX(Hit!K48,Stand!K48)</f>
        <v>-0.10019887561319057</v>
      </c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2.5" x14ac:dyDescent="0.25">
      <c r="A49" s="5">
        <v>29</v>
      </c>
      <c r="B49" s="5">
        <f>MAX(Hit!B49,Stand!B49)</f>
        <v>0.38630468602058993</v>
      </c>
      <c r="C49" s="5">
        <f>MAX(Hit!C49,Stand!C49)</f>
        <v>0.4043629365977599</v>
      </c>
      <c r="D49" s="5">
        <f>MAX(Hit!D49,Stand!D49)</f>
        <v>0.42317892482749653</v>
      </c>
      <c r="E49" s="5">
        <f>MAX(Hit!E49,Stand!E49)</f>
        <v>0.43951210416088371</v>
      </c>
      <c r="F49" s="5">
        <f>MAX(Hit!F49,Stand!F49)</f>
        <v>0.49597707378731926</v>
      </c>
      <c r="G49" s="5">
        <f>MAX(Hit!G49,Stand!G49)</f>
        <v>0.6159764957534315</v>
      </c>
      <c r="H49" s="5">
        <f>MAX(Hit!H49,Stand!H49)</f>
        <v>0.59385366828669439</v>
      </c>
      <c r="I49" s="5">
        <f>MAX(Hit!I49,Stand!I49)</f>
        <v>0.28759675706758148</v>
      </c>
      <c r="J49" s="5">
        <f>MAX(Hit!J49,Stand!J49)</f>
        <v>6.3118166335840831E-2</v>
      </c>
      <c r="K49" s="5">
        <f>MAX(Hit!K49,Stand!K49)</f>
        <v>0.27763572376835594</v>
      </c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2.5" x14ac:dyDescent="0.25">
      <c r="A50" s="5">
        <v>30</v>
      </c>
      <c r="B50" s="5">
        <f>MAX(Hit!B50,Stand!B50)</f>
        <v>0.63998657521683877</v>
      </c>
      <c r="C50" s="5">
        <f>MAX(Hit!C50,Stand!C50)</f>
        <v>0.65027209425148136</v>
      </c>
      <c r="D50" s="5">
        <f>MAX(Hit!D50,Stand!D50)</f>
        <v>0.66104996194807186</v>
      </c>
      <c r="E50" s="5">
        <f>MAX(Hit!E50,Stand!E50)</f>
        <v>0.67035969063279999</v>
      </c>
      <c r="F50" s="5">
        <f>MAX(Hit!F50,Stand!F50)</f>
        <v>0.70395857017134467</v>
      </c>
      <c r="G50" s="5">
        <f>MAX(Hit!G50,Stand!G50)</f>
        <v>0.77322722653717491</v>
      </c>
      <c r="H50" s="5">
        <f>MAX(Hit!H50,Stand!H50)</f>
        <v>0.79181515955189841</v>
      </c>
      <c r="I50" s="5">
        <f>MAX(Hit!I50,Stand!I50)</f>
        <v>0.75835687080859615</v>
      </c>
      <c r="J50" s="5">
        <f>MAX(Hit!J50,Stand!J50)</f>
        <v>0.55453756646817121</v>
      </c>
      <c r="K50" s="5">
        <f>MAX(Hit!K50,Stand!K50)</f>
        <v>0.65547032314990239</v>
      </c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2.5" x14ac:dyDescent="0.25">
      <c r="A51" s="5">
        <v>31</v>
      </c>
      <c r="B51" s="5">
        <f>MAX(Hit!B51,Stand!B51)</f>
        <v>0.88200651549403997</v>
      </c>
      <c r="C51" s="5">
        <f>MAX(Hit!C51,Stand!C51)</f>
        <v>0.88530035730174927</v>
      </c>
      <c r="D51" s="5">
        <f>MAX(Hit!D51,Stand!D51)</f>
        <v>0.88876729296591961</v>
      </c>
      <c r="E51" s="5">
        <f>MAX(Hit!E51,Stand!E51)</f>
        <v>0.89175382659528035</v>
      </c>
      <c r="F51" s="5">
        <f>MAX(Hit!F51,Stand!F51)</f>
        <v>0.90283674384258006</v>
      </c>
      <c r="G51" s="5">
        <f>MAX(Hit!G51,Stand!G51)</f>
        <v>0.92592629596452325</v>
      </c>
      <c r="H51" s="5">
        <f>MAX(Hit!H51,Stand!H51)</f>
        <v>0.93060505318396614</v>
      </c>
      <c r="I51" s="5">
        <f>MAX(Hit!I51,Stand!I51)</f>
        <v>0.93917615614724415</v>
      </c>
      <c r="J51" s="5">
        <f>MAX(Hit!J51,Stand!J51)</f>
        <v>0.96262363326716827</v>
      </c>
      <c r="K51" s="5">
        <f>MAX(Hit!K51,Stand!K51)</f>
        <v>0.92219381142033785</v>
      </c>
      <c r="N51" s="2"/>
      <c r="O51" s="2"/>
      <c r="P51" s="2"/>
      <c r="Q51" s="2"/>
      <c r="R51" s="2"/>
      <c r="S51" s="2"/>
      <c r="T51" s="2"/>
      <c r="U51" s="2"/>
      <c r="V51" s="2"/>
      <c r="W51" s="2"/>
    </row>
  </sheetData>
  <conditionalFormatting sqref="N1:W51">
    <cfRule type="containsText" dxfId="10" priority="1" operator="containsText" text="H">
      <formula>NOT(ISERROR(SEARCH(("H"),(N1))))</formula>
    </cfRule>
    <cfRule type="containsText" dxfId="9" priority="2" operator="containsText" text="S">
      <formula>NOT(ISERROR(SEARCH(("S"),(N1))))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51"/>
  <sheetViews>
    <sheetView workbookViewId="0"/>
  </sheetViews>
  <sheetFormatPr defaultColWidth="12.6328125" defaultRowHeight="15.75" customHeight="1" x14ac:dyDescent="0.25"/>
  <sheetData>
    <row r="1" spans="1:11" ht="15.75" customHeight="1" x14ac:dyDescent="0.25">
      <c r="A1" s="5" t="s">
        <v>1</v>
      </c>
      <c r="B1" s="5">
        <v>2</v>
      </c>
      <c r="C1" s="5">
        <v>3</v>
      </c>
      <c r="D1" s="5">
        <v>4</v>
      </c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 t="s">
        <v>2</v>
      </c>
    </row>
    <row r="2" spans="1:11" ht="15.75" customHeight="1" x14ac:dyDescent="0.25">
      <c r="A2" s="5">
        <v>4</v>
      </c>
      <c r="B2" s="5">
        <f>2*(SUM(Stand!B4:B11)+4*Stand!B12+Stand!B35)/13</f>
        <v>-0.58556745441855451</v>
      </c>
      <c r="C2" s="5">
        <f>2*(SUM(Stand!C4:C11)+4*Stand!C12+Stand!C35)/13</f>
        <v>-0.5045004584714271</v>
      </c>
      <c r="D2" s="5">
        <f>2*(SUM(Stand!D4:D11)+4*Stand!D12+Stand!D35)/13</f>
        <v>-0.42212621798982874</v>
      </c>
      <c r="E2" s="5">
        <f>2*(SUM(Stand!E4:E11)+4*Stand!E12+Stand!E35)/13</f>
        <v>-0.33438532167095047</v>
      </c>
      <c r="F2" s="5">
        <f>2*(SUM(Stand!F4:F11)+4*Stand!F12+Stand!F35)/13</f>
        <v>-0.30739803166000884</v>
      </c>
      <c r="G2" s="5">
        <f>2*(SUM(Stand!G4:G11)+4*Stand!G12+Stand!G35)/13</f>
        <v>-0.95075036655386636</v>
      </c>
      <c r="H2" s="5">
        <f>2*(SUM(Stand!H4:H11)+4*Stand!H12+Stand!H35)/13</f>
        <v>-1.0210350309952343</v>
      </c>
      <c r="I2" s="5">
        <f>2*(SUM(Stand!I4:I11)+4*Stand!I12+Stand!I35)/13</f>
        <v>-1.086299362262219</v>
      </c>
      <c r="J2" s="5">
        <f>2*(SUM(Stand!J4:J11)+4*Stand!J12+Stand!J35)/13</f>
        <v>-1.0808606679899702</v>
      </c>
      <c r="K2" s="5">
        <f>2*(SUM(Stand!K4:K11)+4*Stand!K12+Stand!K35)/13</f>
        <v>-1.3339015493710207</v>
      </c>
    </row>
    <row r="3" spans="1:11" ht="15.75" customHeight="1" x14ac:dyDescent="0.25">
      <c r="A3" s="5">
        <v>5</v>
      </c>
      <c r="B3" s="5">
        <f>2*(SUM(Stand!B5:B12)+4*Stand!B13+Stand!B36)/13</f>
        <v>-0.58556745441855451</v>
      </c>
      <c r="C3" s="5">
        <f>2*(SUM(Stand!C5:C12)+4*Stand!C13+Stand!C36)/13</f>
        <v>-0.5045004584714271</v>
      </c>
      <c r="D3" s="5">
        <f>2*(SUM(Stand!D5:D12)+4*Stand!D13+Stand!D36)/13</f>
        <v>-0.42212621798982874</v>
      </c>
      <c r="E3" s="5">
        <f>2*(SUM(Stand!E5:E12)+4*Stand!E13+Stand!E36)/13</f>
        <v>-0.33438532167095047</v>
      </c>
      <c r="F3" s="5">
        <f>2*(SUM(Stand!F5:F12)+4*Stand!F13+Stand!F36)/13</f>
        <v>-0.30739803166000884</v>
      </c>
      <c r="G3" s="5">
        <f>2*(SUM(Stand!G5:G12)+4*Stand!G13+Stand!G36)/13</f>
        <v>-0.95075036655386636</v>
      </c>
      <c r="H3" s="5">
        <f>2*(SUM(Stand!H5:H12)+4*Stand!H13+Stand!H36)/13</f>
        <v>-1.0210350309952343</v>
      </c>
      <c r="I3" s="5">
        <f>2*(SUM(Stand!I5:I12)+4*Stand!I13+Stand!I36)/13</f>
        <v>-1.086299362262219</v>
      </c>
      <c r="J3" s="5">
        <f>2*(SUM(Stand!J5:J12)+4*Stand!J13+Stand!J36)/13</f>
        <v>-1.0808606679899702</v>
      </c>
      <c r="K3" s="5">
        <f>2*(SUM(Stand!K5:K12)+4*Stand!K13+Stand!K36)/13</f>
        <v>-1.3339015493710207</v>
      </c>
    </row>
    <row r="4" spans="1:11" ht="15.75" customHeight="1" x14ac:dyDescent="0.25">
      <c r="A4" s="5">
        <v>6</v>
      </c>
      <c r="B4" s="5">
        <f>2*(SUM(Stand!B6:B13)+4*Stand!B14+Stand!B37)/13</f>
        <v>-0.56405835602967214</v>
      </c>
      <c r="C4" s="5">
        <f>2*(SUM(Stand!C6:C13)+4*Stand!C14+Stand!C37)/13</f>
        <v>-0.4837259988081748</v>
      </c>
      <c r="D4" s="5">
        <f>2*(SUM(Stand!D6:D13)+4*Stand!D14+Stand!D37)/13</f>
        <v>-0.40205087401296752</v>
      </c>
      <c r="E4" s="5">
        <f>2*(SUM(Stand!E6:E13)+4*Stand!E14+Stand!E37)/13</f>
        <v>-0.31557743162932728</v>
      </c>
      <c r="F4" s="5">
        <f>2*(SUM(Stand!F6:F13)+4*Stand!F14+Stand!F37)/13</f>
        <v>-0.28194600450564783</v>
      </c>
      <c r="G4" s="5">
        <f>2*(SUM(Stand!G6:G13)+4*Stand!G14+Stand!G37)/13</f>
        <v>-0.89404787520090667</v>
      </c>
      <c r="H4" s="5">
        <f>2*(SUM(Stand!H6:H13)+4*Stand!H14+Stand!H37)/13</f>
        <v>-1.001255562618439</v>
      </c>
      <c r="I4" s="5">
        <f>2*(SUM(Stand!I6:I13)+4*Stand!I14+Stand!I37)/13</f>
        <v>-1.0678385251105433</v>
      </c>
      <c r="J4" s="5">
        <f>2*(SUM(Stand!J6:J13)+4*Stand!J14+Stand!J37)/13</f>
        <v>-1.0622899449028678</v>
      </c>
      <c r="K4" s="5">
        <f>2*(SUM(Stand!K6:K13)+4*Stand!K14+Stand!K37)/13</f>
        <v>-1.3048373494185941</v>
      </c>
    </row>
    <row r="5" spans="1:11" ht="15.75" customHeight="1" x14ac:dyDescent="0.25">
      <c r="A5" s="5">
        <v>7</v>
      </c>
      <c r="B5" s="5">
        <f>2*(SUM(Stand!B7:B14)+4*Stand!B15+Stand!B38)/13</f>
        <v>-0.43575788710453822</v>
      </c>
      <c r="C5" s="5">
        <f>2*(SUM(Stand!C7:C14)+4*Stand!C15+Stand!C38)/13</f>
        <v>-0.35977949642195262</v>
      </c>
      <c r="D5" s="5">
        <f>2*(SUM(Stand!D7:D14)+4*Stand!D15+Stand!D38)/13</f>
        <v>-0.28229906574509145</v>
      </c>
      <c r="E5" s="5">
        <f>2*(SUM(Stand!E7:E14)+4*Stand!E15+Stand!E38)/13</f>
        <v>-0.20273009137958806</v>
      </c>
      <c r="F5" s="5">
        <f>2*(SUM(Stand!F7:F14)+4*Stand!F15+Stand!F38)/13</f>
        <v>-0.13833716429227214</v>
      </c>
      <c r="G5" s="5">
        <f>2*(SUM(Stand!G7:G14)+4*Stand!G15+Stand!G38)/13</f>
        <v>-0.58933588566302952</v>
      </c>
      <c r="H5" s="5">
        <f>2*(SUM(Stand!H7:H14)+4*Stand!H15+Stand!H38)/13</f>
        <v>-0.84707579377778497</v>
      </c>
      <c r="I5" s="5">
        <f>2*(SUM(Stand!I7:I14)+4*Stand!I15+Stand!I38)/13</f>
        <v>-0.95707350220048915</v>
      </c>
      <c r="J5" s="5">
        <f>2*(SUM(Stand!J7:J14)+4*Stand!J15+Stand!J38)/13</f>
        <v>-0.95086560638025364</v>
      </c>
      <c r="K5" s="5">
        <f>2*(SUM(Stand!K7:K14)+4*Stand!K15+Stand!K38)/13</f>
        <v>-1.1304521497040341</v>
      </c>
    </row>
    <row r="6" spans="1:11" ht="15.75" customHeight="1" x14ac:dyDescent="0.25">
      <c r="A6" s="5">
        <v>8</v>
      </c>
      <c r="B6" s="5">
        <f>2*(SUM(Stand!B8:B15)+4*Stand!B16+Stand!B39)/13</f>
        <v>-0.20449052049882185</v>
      </c>
      <c r="C6" s="5">
        <f>2*(SUM(Stand!C8:C15)+4*Stand!C16+Stand!C39)/13</f>
        <v>-0.13621609509408678</v>
      </c>
      <c r="D6" s="5">
        <f>2*(SUM(Stand!D8:D15)+4*Stand!D16+Stand!D39)/13</f>
        <v>-6.6372071152658363E-2</v>
      </c>
      <c r="E6" s="5">
        <f>2*(SUM(Stand!E8:E15)+4*Stand!E16+Stand!E39)/13</f>
        <v>3.456443484975604E-3</v>
      </c>
      <c r="F6" s="5">
        <f>2*(SUM(Stand!F8:F15)+4*Stand!F16+Stand!F39)/13</f>
        <v>8.701519812895768E-2</v>
      </c>
      <c r="G6" s="5">
        <f>2*(SUM(Stand!G8:G15)+4*Stand!G16+Stand!G39)/13</f>
        <v>-0.18772955497255212</v>
      </c>
      <c r="H6" s="5">
        <f>2*(SUM(Stand!H8:H15)+4*Stand!H16+Stand!H39)/13</f>
        <v>-0.45198684873362743</v>
      </c>
      <c r="I6" s="5">
        <f>2*(SUM(Stand!I8:I15)+4*Stand!I16+Stand!I39)/13</f>
        <v>-0.71850133495217472</v>
      </c>
      <c r="J6" s="5">
        <f>2*(SUM(Stand!J8:J15)+4*Stand!J16+Stand!J39)/13</f>
        <v>-0.7465876524221281</v>
      </c>
      <c r="K6" s="5">
        <f>2*(SUM(Stand!K8:K15)+4*Stand!K16+Stand!K39)/13</f>
        <v>-0.81074595022734097</v>
      </c>
    </row>
    <row r="7" spans="1:11" ht="15.75" customHeight="1" x14ac:dyDescent="0.25">
      <c r="A7" s="5">
        <v>9</v>
      </c>
      <c r="B7" s="5">
        <f>2*(SUM(Stand!B9:B16)+4*Stand!B17+Stand!B40)/13</f>
        <v>6.1118503166597012E-2</v>
      </c>
      <c r="C7" s="5">
        <f>2*(SUM(Stand!C9:C16)+4*Stand!C17+Stand!C40)/13</f>
        <v>0.12081635332999649</v>
      </c>
      <c r="D7" s="5">
        <f>2*(SUM(Stand!D9:D16)+4*Stand!D17+Stand!D40)/13</f>
        <v>0.18194893405242166</v>
      </c>
      <c r="E7" s="5">
        <f>2*(SUM(Stand!E9:E16)+4*Stand!E17+Stand!E40)/13</f>
        <v>0.24305722487303633</v>
      </c>
      <c r="F7" s="5">
        <f>2*(SUM(Stand!F9:F16)+4*Stand!F17+Stand!F40)/13</f>
        <v>0.31705474570166703</v>
      </c>
      <c r="G7" s="5">
        <f>2*(SUM(Stand!G9:G16)+4*Stand!G17+Stand!G40)/13</f>
        <v>0.10425035196048602</v>
      </c>
      <c r="H7" s="5">
        <f>2*(SUM(Stand!H9:H16)+4*Stand!H17+Stand!H40)/13</f>
        <v>-2.6442289648669331E-2</v>
      </c>
      <c r="I7" s="5">
        <f>2*(SUM(Stand!I9:I16)+4*Stand!I17+Stand!I40)/13</f>
        <v>-0.30099565908098236</v>
      </c>
      <c r="J7" s="5">
        <f>2*(SUM(Stand!J9:J16)+4*Stand!J17+Stand!J40)/13</f>
        <v>-0.46670671382825923</v>
      </c>
      <c r="K7" s="5">
        <f>2*(SUM(Stand!K9:K16)+4*Stand!K17+Stand!K40)/13</f>
        <v>-0.4329113508457943</v>
      </c>
    </row>
    <row r="8" spans="1:11" ht="15.75" customHeight="1" x14ac:dyDescent="0.25">
      <c r="A8" s="5">
        <v>10</v>
      </c>
      <c r="B8" s="5">
        <f>2*(SUM(Stand!B10:B17)+4*Stand!B18+Stand!B41)/13</f>
        <v>0.3589394124422991</v>
      </c>
      <c r="C8" s="5">
        <f>2*(SUM(Stand!C10:C17)+4*Stand!C18+Stand!C41)/13</f>
        <v>0.40932067017593915</v>
      </c>
      <c r="D8" s="5">
        <f>2*(SUM(Stand!D10:D17)+4*Stand!D18+Stand!D41)/13</f>
        <v>0.460940243794354</v>
      </c>
      <c r="E8" s="5">
        <f>2*(SUM(Stand!E10:E17)+4*Stand!E18+Stand!E41)/13</f>
        <v>0.51251710900326775</v>
      </c>
      <c r="F8" s="5">
        <f>2*(SUM(Stand!F10:F17)+4*Stand!F18+Stand!F41)/13</f>
        <v>0.57559016859776868</v>
      </c>
      <c r="G8" s="5">
        <f>2*(SUM(Stand!G10:G17)+4*Stand!G18+Stand!G41)/13</f>
        <v>0.39241245528243773</v>
      </c>
      <c r="H8" s="5">
        <f>2*(SUM(Stand!H10:H17)+4*Stand!H18+Stand!H41)/13</f>
        <v>0.28663571688628381</v>
      </c>
      <c r="I8" s="5">
        <f>2*(SUM(Stand!I10:I17)+4*Stand!I18+Stand!I41)/13</f>
        <v>0.14432836838077112</v>
      </c>
      <c r="J8" s="5">
        <f>2*(SUM(Stand!J10:J17)+4*Stand!J18+Stand!J41)/13</f>
        <v>-8.6586880345447086E-3</v>
      </c>
      <c r="K8" s="5">
        <f>2*(SUM(Stand!K10:K17)+4*Stand!K18+Stand!K41)/13</f>
        <v>-1.4042368653411651E-2</v>
      </c>
    </row>
    <row r="9" spans="1:11" ht="15.75" customHeight="1" x14ac:dyDescent="0.25">
      <c r="A9" s="5">
        <v>11</v>
      </c>
      <c r="B9" s="5">
        <f>2*(SUM(Stand!B11:B18)+4*Stand!B19+Stand!B42)/13</f>
        <v>0.47064092333946889</v>
      </c>
      <c r="C9" s="5">
        <f>2*(SUM(Stand!C11:C18)+4*Stand!C19+Stand!C42)/13</f>
        <v>0.51779525312221664</v>
      </c>
      <c r="D9" s="5">
        <f>2*(SUM(Stand!D11:D18)+4*Stand!D19+Stand!D42)/13</f>
        <v>0.56604055041797607</v>
      </c>
      <c r="E9" s="5">
        <f>2*(SUM(Stand!E11:E18)+4*Stand!E19+Stand!E42)/13</f>
        <v>0.61469901790902803</v>
      </c>
      <c r="F9" s="5">
        <f>2*(SUM(Stand!F11:F18)+4*Stand!F19+Stand!F42)/13</f>
        <v>0.66738009490756967</v>
      </c>
      <c r="G9" s="5">
        <f>2*(SUM(Stand!G11:G18)+4*Stand!G19+Stand!G42)/13</f>
        <v>0.46288894886429094</v>
      </c>
      <c r="H9" s="5">
        <f>2*(SUM(Stand!H11:H18)+4*Stand!H19+Stand!H42)/13</f>
        <v>0.35069259087031501</v>
      </c>
      <c r="I9" s="5">
        <f>2*(SUM(Stand!I11:I18)+4*Stand!I19+Stand!I42)/13</f>
        <v>0.22778342315245487</v>
      </c>
      <c r="J9" s="5">
        <f>2*(SUM(Stand!J11:J18)+4*Stand!J19+Stand!J42)/13</f>
        <v>0.1796887274111463</v>
      </c>
      <c r="K9" s="5">
        <f>2*(SUM(Stand!K11:K18)+4*Stand!K19+Stand!K42)/13</f>
        <v>0.10906077977909699</v>
      </c>
    </row>
    <row r="10" spans="1:11" ht="15.75" customHeight="1" x14ac:dyDescent="0.25">
      <c r="A10" s="5">
        <v>12</v>
      </c>
      <c r="B10" s="5">
        <f>2*(SUM(Stand!B11:B19)+4*Stand!B20)/13</f>
        <v>-0.50677997193327617</v>
      </c>
      <c r="C10" s="5">
        <f>2*(SUM(Stand!C11:C19)+4*Stand!C20)/13</f>
        <v>-0.46738179959617321</v>
      </c>
      <c r="D10" s="5">
        <f>2*(SUM(Stand!D11:D19)+4*Stand!D20)/13</f>
        <v>-0.4270731064901539</v>
      </c>
      <c r="E10" s="5">
        <f>2*(SUM(Stand!E11:E19)+4*Stand!E20)/13</f>
        <v>-0.38654233885256678</v>
      </c>
      <c r="F10" s="5">
        <f>2*(SUM(Stand!F11:F19)+4*Stand!F20)/13</f>
        <v>-0.34105239981515889</v>
      </c>
      <c r="G10" s="5">
        <f>2*(SUM(Stand!G11:G19)+4*Stand!G20)/13</f>
        <v>-0.50671162107673007</v>
      </c>
      <c r="H10" s="5">
        <f>2*(SUM(Stand!H11:H19)+4*Stand!H20)/13</f>
        <v>-0.61566089283034364</v>
      </c>
      <c r="I10" s="5">
        <f>2*(SUM(Stand!I11:I19)+4*Stand!I20)/13</f>
        <v>-0.73750562104917949</v>
      </c>
      <c r="J10" s="5">
        <f>2*(SUM(Stand!J11:J19)+4*Stand!J20)/13</f>
        <v>-0.79684059040524136</v>
      </c>
      <c r="K10" s="5">
        <f>2*(SUM(Stand!K11:K19)+4*Stand!K20)/13</f>
        <v>-0.82934393707867271</v>
      </c>
    </row>
    <row r="11" spans="1:11" ht="15.75" customHeight="1" x14ac:dyDescent="0.25">
      <c r="A11" s="5">
        <v>13</v>
      </c>
      <c r="B11" s="5">
        <f>2*(SUM(Stand!B12:B20)+4*Stand!B21)/13</f>
        <v>-0.61558247543954114</v>
      </c>
      <c r="C11" s="5">
        <f>2*(SUM(Stand!C12:C20)+4*Stand!C21)/13</f>
        <v>-0.58242022586760189</v>
      </c>
      <c r="D11" s="5">
        <f>2*(SUM(Stand!D12:D20)+4*Stand!D21)/13</f>
        <v>-0.54844801279862865</v>
      </c>
      <c r="E11" s="5">
        <f>2*(SUM(Stand!E12:E20)+4*Stand!E21)/13</f>
        <v>-0.51466654487787822</v>
      </c>
      <c r="F11" s="5">
        <f>2*(SUM(Stand!F12:F20)+4*Stand!F21)/13</f>
        <v>-0.47125255122592746</v>
      </c>
      <c r="G11" s="5">
        <f>2*(SUM(Stand!G12:G20)+4*Stand!G21)/13</f>
        <v>-0.58742313134181734</v>
      </c>
      <c r="H11" s="5">
        <f>2*(SUM(Stand!H12:H20)+4*Stand!H21)/13</f>
        <v>-0.6909658904460948</v>
      </c>
      <c r="I11" s="5">
        <f>2*(SUM(Stand!I12:I20)+4*Stand!I21)/13</f>
        <v>-0.80779028549054732</v>
      </c>
      <c r="J11" s="5">
        <f>2*(SUM(Stand!J12:J20)+4*Stand!J21)/13</f>
        <v>-0.86754361594447438</v>
      </c>
      <c r="K11" s="5">
        <f>2*(SUM(Stand!K12:K20)+4*Stand!K21)/13</f>
        <v>-0.88058227943474798</v>
      </c>
    </row>
    <row r="12" spans="1:11" ht="15.75" customHeight="1" x14ac:dyDescent="0.25">
      <c r="A12" s="5">
        <v>14</v>
      </c>
      <c r="B12" s="5">
        <f>2*(SUM(Stand!B13:B21)+4*Stand!B22)/13</f>
        <v>-0.72438497894580622</v>
      </c>
      <c r="C12" s="5">
        <f>2*(SUM(Stand!C13:C21)+4*Stand!C22)/13</f>
        <v>-0.69745865213903058</v>
      </c>
      <c r="D12" s="5">
        <f>2*(SUM(Stand!D13:D21)+4*Stand!D22)/13</f>
        <v>-0.66982291910710334</v>
      </c>
      <c r="E12" s="5">
        <f>2*(SUM(Stand!E13:E21)+4*Stand!E22)/13</f>
        <v>-0.64279075090318982</v>
      </c>
      <c r="F12" s="5">
        <f>2*(SUM(Stand!F13:F21)+4*Stand!F22)/13</f>
        <v>-0.60145270263669603</v>
      </c>
      <c r="G12" s="5">
        <f>2*(SUM(Stand!G13:G21)+4*Stand!G22)/13</f>
        <v>-0.66813464160690461</v>
      </c>
      <c r="H12" s="5">
        <f>2*(SUM(Stand!H13:H21)+4*Stand!H22)/13</f>
        <v>-0.76627088806184607</v>
      </c>
      <c r="I12" s="5">
        <f>2*(SUM(Stand!I13:I21)+4*Stand!I22)/13</f>
        <v>-0.87807494993191504</v>
      </c>
      <c r="J12" s="5">
        <f>2*(SUM(Stand!J13:J21)+4*Stand!J22)/13</f>
        <v>-0.93824664148370751</v>
      </c>
      <c r="K12" s="5">
        <f>2*(SUM(Stand!K13:K21)+4*Stand!K22)/13</f>
        <v>-0.93182062179082337</v>
      </c>
    </row>
    <row r="13" spans="1:11" ht="15.75" customHeight="1" x14ac:dyDescent="0.25">
      <c r="A13" s="5">
        <v>15</v>
      </c>
      <c r="B13" s="5">
        <f>2*(SUM(Stand!B14:B22)+4*Stand!B23)/13</f>
        <v>-0.83318748245207119</v>
      </c>
      <c r="C13" s="5">
        <f>2*(SUM(Stand!C14:C22)+4*Stand!C23)/13</f>
        <v>-0.81249707841045926</v>
      </c>
      <c r="D13" s="5">
        <f>2*(SUM(Stand!D14:D22)+4*Stand!D23)/13</f>
        <v>-0.79119782541557804</v>
      </c>
      <c r="E13" s="5">
        <f>2*(SUM(Stand!E14:E22)+4*Stand!E23)/13</f>
        <v>-0.77091495692850132</v>
      </c>
      <c r="F13" s="5">
        <f>2*(SUM(Stand!F14:F22)+4*Stand!F23)/13</f>
        <v>-0.7316528540474645</v>
      </c>
      <c r="G13" s="5">
        <f>2*(SUM(Stand!G14:G22)+4*Stand!G23)/13</f>
        <v>-0.74884615187199166</v>
      </c>
      <c r="H13" s="5">
        <f>2*(SUM(Stand!H14:H22)+4*Stand!H23)/13</f>
        <v>-0.84157588567759722</v>
      </c>
      <c r="I13" s="5">
        <f>2*(SUM(Stand!I14:I22)+4*Stand!I23)/13</f>
        <v>-0.94835961437328287</v>
      </c>
      <c r="J13" s="5">
        <f>2*(SUM(Stand!J14:J22)+4*Stand!J23)/13</f>
        <v>-1.0089496670229405</v>
      </c>
      <c r="K13" s="5">
        <f>2*(SUM(Stand!K14:K22)+4*Stand!K23)/13</f>
        <v>-0.98305896414689875</v>
      </c>
    </row>
    <row r="14" spans="1:11" ht="15.75" customHeight="1" x14ac:dyDescent="0.25">
      <c r="A14" s="5">
        <v>16</v>
      </c>
      <c r="B14" s="5">
        <f>2*(SUM(Stand!B15:B23)+4*Stand!B24)/13</f>
        <v>-0.94198998595833616</v>
      </c>
      <c r="C14" s="5">
        <f>2*(SUM(Stand!C15:C23)+4*Stand!C24)/13</f>
        <v>-0.92753550468188806</v>
      </c>
      <c r="D14" s="5">
        <f>2*(SUM(Stand!D15:D23)+4*Stand!D24)/13</f>
        <v>-0.91257273172405273</v>
      </c>
      <c r="E14" s="5">
        <f>2*(SUM(Stand!E15:E23)+4*Stand!E24)/13</f>
        <v>-0.89903916295381281</v>
      </c>
      <c r="F14" s="5">
        <f>2*(SUM(Stand!F15:F23)+4*Stand!F24)/13</f>
        <v>-0.86185300545823318</v>
      </c>
      <c r="G14" s="5">
        <f>2*(SUM(Stand!G15:G23)+4*Stand!G24)/13</f>
        <v>-0.82955766213707893</v>
      </c>
      <c r="H14" s="5">
        <f>2*(SUM(Stand!H15:H23)+4*Stand!H24)/13</f>
        <v>-0.91688088329334838</v>
      </c>
      <c r="I14" s="5">
        <f>2*(SUM(Stand!I15:I23)+4*Stand!I24)/13</f>
        <v>-1.0186442788146506</v>
      </c>
      <c r="J14" s="5">
        <f>2*(SUM(Stand!J15:J23)+4*Stand!J24)/13</f>
        <v>-1.0796526925621737</v>
      </c>
      <c r="K14" s="5">
        <f>2*(SUM(Stand!K15:K23)+4*Stand!K24)/13</f>
        <v>-1.0342973065029741</v>
      </c>
    </row>
    <row r="15" spans="1:11" ht="15.75" customHeight="1" x14ac:dyDescent="0.25">
      <c r="A15" s="5">
        <v>17</v>
      </c>
      <c r="B15" s="5">
        <f>2*(SUM(Stand!B16:B24)+4*Stand!B25)/13</f>
        <v>-1.0723015878534836</v>
      </c>
      <c r="C15" s="5">
        <f>2*(SUM(Stand!C16:C24)+4*Stand!C25)/13</f>
        <v>-1.0633483906165691</v>
      </c>
      <c r="D15" s="5">
        <f>2*(SUM(Stand!D16:D24)+4*Stand!D25)/13</f>
        <v>-1.0540229820093887</v>
      </c>
      <c r="E15" s="5">
        <f>2*(SUM(Stand!E16:E24)+4*Stand!E25)/13</f>
        <v>-1.0459712590207475</v>
      </c>
      <c r="F15" s="5">
        <f>2*(SUM(Stand!F16:F24)+4*Stand!F25)/13</f>
        <v>-1.0175051840233627</v>
      </c>
      <c r="G15" s="5">
        <f>2*(SUM(Stand!G16:G24)+4*Stand!G25)/13</f>
        <v>-0.96697166375512589</v>
      </c>
      <c r="H15" s="5">
        <f>2*(SUM(Stand!H16:H24)+4*Stand!H25)/13</f>
        <v>-1.0119653492858949</v>
      </c>
      <c r="I15" s="5">
        <f>2*(SUM(Stand!I16:I24)+4*Stand!I25)/13</f>
        <v>-1.107389780407694</v>
      </c>
      <c r="J15" s="5">
        <f>2*(SUM(Stand!J16:J24)+4*Stand!J25)/13</f>
        <v>-1.1689264411885092</v>
      </c>
      <c r="K15" s="5">
        <f>2*(SUM(Stand!K16:K24)+4*Stand!K25)/13</f>
        <v>-1.1145998488114761</v>
      </c>
    </row>
    <row r="16" spans="1:11" ht="15.75" customHeight="1" x14ac:dyDescent="0.25">
      <c r="A16" s="5">
        <v>18</v>
      </c>
      <c r="B16" s="5">
        <f>2*(SUM(Stand!B17:B25)+4*Stand!B26)/13</f>
        <v>-1.2448772651182354</v>
      </c>
      <c r="C16" s="5">
        <f>2*(SUM(Stand!C17:C25)+4*Stand!C26)/13</f>
        <v>-1.2400099402844629</v>
      </c>
      <c r="D16" s="5">
        <f>2*(SUM(Stand!D17:D25)+4*Stand!D26)/13</f>
        <v>-1.2349236646551558</v>
      </c>
      <c r="E16" s="5">
        <f>2*(SUM(Stand!E17:E25)+4*Stand!E26)/13</f>
        <v>-1.2305191351709286</v>
      </c>
      <c r="F16" s="5">
        <f>2*(SUM(Stand!F17:F25)+4*Stand!F26)/13</f>
        <v>-1.214958094184424</v>
      </c>
      <c r="G16" s="5">
        <f>2*(SUM(Stand!G17:G25)+4*Stand!G26)/13</f>
        <v>-1.1822876894992107</v>
      </c>
      <c r="H16" s="5">
        <f>2*(SUM(Stand!H17:H25)+4*Stand!H26)/13</f>
        <v>-1.1821117106119141</v>
      </c>
      <c r="I16" s="5">
        <f>2*(SUM(Stand!I17:I25)+4*Stand!I26)/13</f>
        <v>-1.2330569563040892</v>
      </c>
      <c r="J16" s="5">
        <f>2*(SUM(Stand!J17:J25)+4*Stand!J26)/13</f>
        <v>-1.2953416359890491</v>
      </c>
      <c r="K16" s="5">
        <f>2*(SUM(Stand!K17:K25)+4*Stand!K26)/13</f>
        <v>-1.2530307910248313</v>
      </c>
    </row>
    <row r="17" spans="1:11" ht="15.75" customHeight="1" x14ac:dyDescent="0.25">
      <c r="A17" s="5">
        <v>19</v>
      </c>
      <c r="B17" s="5">
        <f>2*(SUM(Stand!B18:B26)+4*Stand!B27)/13</f>
        <v>-1.4581549091214032</v>
      </c>
      <c r="C17" s="5">
        <f>2*(SUM(Stand!C18:C26)+4*Stand!C27)/13</f>
        <v>-1.4560657766841183</v>
      </c>
      <c r="D17" s="5">
        <f>2*(SUM(Stand!D18:D26)+4*Stand!D27)/13</f>
        <v>-1.4538742684747705</v>
      </c>
      <c r="E17" s="5">
        <f>2*(SUM(Stand!E18:E26)+4*Stand!E27)/13</f>
        <v>-1.4519825358110645</v>
      </c>
      <c r="F17" s="5">
        <f>2*(SUM(Stand!F18:F26)+4*Stand!F27)/13</f>
        <v>-1.4451084132286272</v>
      </c>
      <c r="G17" s="5">
        <f>2*(SUM(Stand!G18:G26)+4*Stand!G27)/13</f>
        <v>-1.4308994580766619</v>
      </c>
      <c r="H17" s="5">
        <f>2*(SUM(Stand!H18:H26)+4*Stand!H27)/13</f>
        <v>-1.4273199672714054</v>
      </c>
      <c r="I17" s="5">
        <f>2*(SUM(Stand!I18:I26)+4*Stand!I27)/13</f>
        <v>-1.4311487650837169</v>
      </c>
      <c r="J17" s="5">
        <f>2*(SUM(Stand!J18:J26)+4*Stand!J27)/13</f>
        <v>-1.4588982769637939</v>
      </c>
      <c r="K17" s="5">
        <f>2*(SUM(Stand!K18:K26)+4*Stand!K27)/13</f>
        <v>-1.4495901331430401</v>
      </c>
    </row>
    <row r="18" spans="1:11" ht="15.75" customHeight="1" x14ac:dyDescent="0.25">
      <c r="A18" s="5">
        <v>20</v>
      </c>
      <c r="B18" s="5">
        <f>2*(SUM(Stand!B19:B27)+4*Stand!B28)/13</f>
        <v>-1.7104605360778398</v>
      </c>
      <c r="C18" s="5">
        <f>2*(SUM(Stand!C19:C27)+4*Stand!C28)/13</f>
        <v>-1.7099537911843465</v>
      </c>
      <c r="D18" s="5">
        <f>2*(SUM(Stand!D19:D27)+4*Stand!D28)/13</f>
        <v>-1.7094204164667817</v>
      </c>
      <c r="E18" s="5">
        <f>2*(SUM(Stand!E19:E27)+4*Stand!E28)/13</f>
        <v>-1.7089609497545721</v>
      </c>
      <c r="F18" s="5">
        <f>2*(SUM(Stand!F19:F27)+4*Stand!F28)/13</f>
        <v>-1.7072558855626798</v>
      </c>
      <c r="G18" s="5">
        <f>2*(SUM(Stand!G19:G27)+4*Stand!G28)/13</f>
        <v>-1.7037036467746889</v>
      </c>
      <c r="H18" s="5">
        <f>2*(SUM(Stand!H19:H27)+4*Stand!H28)/13</f>
        <v>-1.7029838379716975</v>
      </c>
      <c r="I18" s="5">
        <f>2*(SUM(Stand!I19:I27)+4*Stand!I28)/13</f>
        <v>-1.7016652067465778</v>
      </c>
      <c r="J18" s="5">
        <f>2*(SUM(Stand!J19:J27)+4*Stand!J28)/13</f>
        <v>-1.6980579025742819</v>
      </c>
      <c r="K18" s="5">
        <f>2*(SUM(Stand!K19:K27)+4*Stand!K28)/13</f>
        <v>-1.7042778751661016</v>
      </c>
    </row>
    <row r="19" spans="1:11" ht="15.75" customHeight="1" x14ac:dyDescent="0.25">
      <c r="A19" s="5">
        <v>21</v>
      </c>
      <c r="B19" s="5">
        <f>2*(SUM(Stand!B20:B28)+4*Stand!B29)/13</f>
        <v>-2</v>
      </c>
      <c r="C19" s="5">
        <f>2*(SUM(Stand!C20:C28)+4*Stand!C29)/13</f>
        <v>-2</v>
      </c>
      <c r="D19" s="5">
        <f>2*(SUM(Stand!D20:D28)+4*Stand!D29)/13</f>
        <v>-2</v>
      </c>
      <c r="E19" s="5">
        <f>2*(SUM(Stand!E20:E28)+4*Stand!E29)/13</f>
        <v>-2</v>
      </c>
      <c r="F19" s="5">
        <f>2*(SUM(Stand!F20:F28)+4*Stand!F29)/13</f>
        <v>-2</v>
      </c>
      <c r="G19" s="5">
        <f>2*(SUM(Stand!G20:G28)+4*Stand!G29)/13</f>
        <v>-2</v>
      </c>
      <c r="H19" s="5">
        <f>2*(SUM(Stand!H20:H28)+4*Stand!H29)/13</f>
        <v>-2</v>
      </c>
      <c r="I19" s="5">
        <f>2*(SUM(Stand!I20:I28)+4*Stand!I29)/13</f>
        <v>-2</v>
      </c>
      <c r="J19" s="5">
        <f>2*(SUM(Stand!J20:J28)+4*Stand!J29)/13</f>
        <v>-2</v>
      </c>
      <c r="K19" s="5">
        <f>2*(SUM(Stand!K20:K28)+4*Stand!K29)/13</f>
        <v>-2</v>
      </c>
    </row>
    <row r="20" spans="1:11" ht="12.5" x14ac:dyDescent="0.25">
      <c r="A20" s="5">
        <v>22</v>
      </c>
      <c r="B20" s="5">
        <v>-2</v>
      </c>
      <c r="C20" s="5">
        <v>-2</v>
      </c>
      <c r="D20" s="5">
        <v>-2</v>
      </c>
      <c r="E20" s="5">
        <v>-2</v>
      </c>
      <c r="F20" s="5">
        <v>-2</v>
      </c>
      <c r="G20" s="5">
        <v>-2</v>
      </c>
      <c r="H20" s="5">
        <v>-2</v>
      </c>
      <c r="I20" s="5">
        <v>-2</v>
      </c>
      <c r="J20" s="5">
        <v>-2</v>
      </c>
      <c r="K20" s="5">
        <v>-2</v>
      </c>
    </row>
    <row r="21" spans="1:11" ht="12.5" x14ac:dyDescent="0.25">
      <c r="A21" s="5">
        <v>23</v>
      </c>
      <c r="B21" s="5">
        <v>-2</v>
      </c>
      <c r="C21" s="5">
        <v>-2</v>
      </c>
      <c r="D21" s="5">
        <v>-2</v>
      </c>
      <c r="E21" s="5">
        <v>-2</v>
      </c>
      <c r="F21" s="5">
        <v>-2</v>
      </c>
      <c r="G21" s="5">
        <v>-2</v>
      </c>
      <c r="H21" s="5">
        <v>-2</v>
      </c>
      <c r="I21" s="5">
        <v>-2</v>
      </c>
      <c r="J21" s="5">
        <v>-2</v>
      </c>
      <c r="K21" s="5">
        <v>-2</v>
      </c>
    </row>
    <row r="22" spans="1:11" ht="12.5" x14ac:dyDescent="0.25">
      <c r="A22" s="5">
        <v>24</v>
      </c>
      <c r="B22" s="5">
        <v>-2</v>
      </c>
      <c r="C22" s="5">
        <v>-2</v>
      </c>
      <c r="D22" s="5">
        <v>-2</v>
      </c>
      <c r="E22" s="5">
        <v>-2</v>
      </c>
      <c r="F22" s="5">
        <v>-2</v>
      </c>
      <c r="G22" s="5">
        <v>-2</v>
      </c>
      <c r="H22" s="5">
        <v>-2</v>
      </c>
      <c r="I22" s="5">
        <v>-2</v>
      </c>
      <c r="J22" s="5">
        <v>-2</v>
      </c>
      <c r="K22" s="5">
        <v>-2</v>
      </c>
    </row>
    <row r="23" spans="1:11" ht="12.5" x14ac:dyDescent="0.25">
      <c r="A23" s="5">
        <v>25</v>
      </c>
      <c r="B23" s="5">
        <v>-2</v>
      </c>
      <c r="C23" s="5">
        <v>-2</v>
      </c>
      <c r="D23" s="5">
        <v>-2</v>
      </c>
      <c r="E23" s="5">
        <v>-2</v>
      </c>
      <c r="F23" s="5">
        <v>-2</v>
      </c>
      <c r="G23" s="5">
        <v>-2</v>
      </c>
      <c r="H23" s="5">
        <v>-2</v>
      </c>
      <c r="I23" s="5">
        <v>-2</v>
      </c>
      <c r="J23" s="5">
        <v>-2</v>
      </c>
      <c r="K23" s="5">
        <v>-2</v>
      </c>
    </row>
    <row r="24" spans="1:11" ht="12.5" x14ac:dyDescent="0.25">
      <c r="A24" s="5">
        <v>26</v>
      </c>
      <c r="B24" s="5">
        <v>-2</v>
      </c>
      <c r="C24" s="5">
        <v>-2</v>
      </c>
      <c r="D24" s="5">
        <v>-2</v>
      </c>
      <c r="E24" s="5">
        <v>-2</v>
      </c>
      <c r="F24" s="5">
        <v>-2</v>
      </c>
      <c r="G24" s="5">
        <v>-2</v>
      </c>
      <c r="H24" s="5">
        <v>-2</v>
      </c>
      <c r="I24" s="5">
        <v>-2</v>
      </c>
      <c r="J24" s="5">
        <v>-2</v>
      </c>
      <c r="K24" s="5">
        <v>-2</v>
      </c>
    </row>
    <row r="25" spans="1:11" ht="12.5" x14ac:dyDescent="0.25">
      <c r="A25" s="5">
        <v>27</v>
      </c>
      <c r="B25" s="5">
        <v>-2</v>
      </c>
      <c r="C25" s="5">
        <v>-2</v>
      </c>
      <c r="D25" s="5">
        <v>-2</v>
      </c>
      <c r="E25" s="5">
        <v>-2</v>
      </c>
      <c r="F25" s="5">
        <v>-2</v>
      </c>
      <c r="G25" s="5">
        <v>-2</v>
      </c>
      <c r="H25" s="5">
        <v>-2</v>
      </c>
      <c r="I25" s="5">
        <v>-2</v>
      </c>
      <c r="J25" s="5">
        <v>-2</v>
      </c>
      <c r="K25" s="5">
        <v>-2</v>
      </c>
    </row>
    <row r="26" spans="1:11" ht="12.5" x14ac:dyDescent="0.25">
      <c r="A26" s="5">
        <v>28</v>
      </c>
      <c r="B26" s="5">
        <v>-2</v>
      </c>
      <c r="C26" s="5">
        <v>-2</v>
      </c>
      <c r="D26" s="5">
        <v>-2</v>
      </c>
      <c r="E26" s="5">
        <v>-2</v>
      </c>
      <c r="F26" s="5">
        <v>-2</v>
      </c>
      <c r="G26" s="5">
        <v>-2</v>
      </c>
      <c r="H26" s="5">
        <v>-2</v>
      </c>
      <c r="I26" s="5">
        <v>-2</v>
      </c>
      <c r="J26" s="5">
        <v>-2</v>
      </c>
      <c r="K26" s="5">
        <v>-2</v>
      </c>
    </row>
    <row r="27" spans="1:11" ht="12.5" x14ac:dyDescent="0.25">
      <c r="A27" s="5">
        <v>29</v>
      </c>
      <c r="B27" s="5">
        <v>-2</v>
      </c>
      <c r="C27" s="5">
        <v>-2</v>
      </c>
      <c r="D27" s="5">
        <v>-2</v>
      </c>
      <c r="E27" s="5">
        <v>-2</v>
      </c>
      <c r="F27" s="5">
        <v>-2</v>
      </c>
      <c r="G27" s="5">
        <v>-2</v>
      </c>
      <c r="H27" s="5">
        <v>-2</v>
      </c>
      <c r="I27" s="5">
        <v>-2</v>
      </c>
      <c r="J27" s="5">
        <v>-2</v>
      </c>
      <c r="K27" s="5">
        <v>-2</v>
      </c>
    </row>
    <row r="28" spans="1:11" ht="12.5" x14ac:dyDescent="0.25">
      <c r="A28" s="5">
        <v>30</v>
      </c>
      <c r="B28" s="5">
        <v>-2</v>
      </c>
      <c r="C28" s="5">
        <v>-2</v>
      </c>
      <c r="D28" s="5">
        <v>-2</v>
      </c>
      <c r="E28" s="5">
        <v>-2</v>
      </c>
      <c r="F28" s="5">
        <v>-2</v>
      </c>
      <c r="G28" s="5">
        <v>-2</v>
      </c>
      <c r="H28" s="5">
        <v>-2</v>
      </c>
      <c r="I28" s="5">
        <v>-2</v>
      </c>
      <c r="J28" s="5">
        <v>-2</v>
      </c>
      <c r="K28" s="5">
        <v>-2</v>
      </c>
    </row>
    <row r="29" spans="1:11" ht="12.5" x14ac:dyDescent="0.25">
      <c r="A29" s="5">
        <v>31</v>
      </c>
      <c r="B29" s="5">
        <v>-2</v>
      </c>
      <c r="C29" s="5">
        <v>-2</v>
      </c>
      <c r="D29" s="5">
        <v>-2</v>
      </c>
      <c r="E29" s="5">
        <v>-2</v>
      </c>
      <c r="F29" s="5">
        <v>-2</v>
      </c>
      <c r="G29" s="5">
        <v>-2</v>
      </c>
      <c r="H29" s="5">
        <v>-2</v>
      </c>
      <c r="I29" s="5">
        <v>-2</v>
      </c>
      <c r="J29" s="5">
        <v>-2</v>
      </c>
      <c r="K29" s="5">
        <v>-2</v>
      </c>
    </row>
    <row r="31" spans="1:11" ht="12.5" x14ac:dyDescent="0.25">
      <c r="A31" s="5" t="s">
        <v>6</v>
      </c>
    </row>
    <row r="32" spans="1:11" ht="12.5" x14ac:dyDescent="0.25">
      <c r="A32" s="5">
        <v>12</v>
      </c>
      <c r="B32" s="5">
        <f>2*(SUM(Stand!B33:B41)+4*Stand!B42)/13</f>
        <v>-7.1569957908215978E-2</v>
      </c>
      <c r="C32" s="5">
        <f>2*(SUM(Stand!C33:C41)+4*Stand!C42)/13</f>
        <v>-7.2280945104584628E-3</v>
      </c>
      <c r="D32" s="5">
        <f>2*(SUM(Stand!D33:D41)+4*Stand!D42)/13</f>
        <v>5.8426518743744951E-2</v>
      </c>
      <c r="E32" s="5">
        <f>2*(SUM(Stand!E33:E41)+4*Stand!E42)/13</f>
        <v>0.12595448524867925</v>
      </c>
      <c r="F32" s="5">
        <f>2*(SUM(Stand!F33:F41)+4*Stand!F42)/13</f>
        <v>0.17974820582791531</v>
      </c>
      <c r="G32" s="5">
        <f>2*(SUM(Stand!G33:G41)+4*Stand!G42)/13</f>
        <v>-0.18386558001638126</v>
      </c>
      <c r="H32" s="5">
        <f>2*(SUM(Stand!H33:H41)+4*Stand!H42)/13</f>
        <v>-0.31444090236733879</v>
      </c>
      <c r="I32" s="5">
        <f>2*(SUM(Stand!I33:I41)+4*Stand!I42)/13</f>
        <v>-0.45636696328370846</v>
      </c>
      <c r="J32" s="5">
        <f>2*(SUM(Stand!J33:J41)+4*Stand!J42)/13</f>
        <v>-0.51402848824830905</v>
      </c>
      <c r="K32" s="5">
        <f>2*(SUM(Stand!K33:K41)+4*Stand!K42)/13</f>
        <v>-0.6243905676543714</v>
      </c>
    </row>
    <row r="33" spans="1:11" ht="12.5" x14ac:dyDescent="0.25">
      <c r="A33" s="5">
        <v>13</v>
      </c>
      <c r="B33" s="5">
        <f>2*(SUM(Stand!B34:B42)+4*Stand!B43)/13</f>
        <v>-7.1569957908215978E-2</v>
      </c>
      <c r="C33" s="5">
        <f>2*(SUM(Stand!C34:C42)+4*Stand!C43)/13</f>
        <v>-7.228094510458429E-3</v>
      </c>
      <c r="D33" s="5">
        <f>2*(SUM(Stand!D34:D42)+4*Stand!D43)/13</f>
        <v>5.8426518743744923E-2</v>
      </c>
      <c r="E33" s="5">
        <f>2*(SUM(Stand!E34:E42)+4*Stand!E43)/13</f>
        <v>0.12595448524867925</v>
      </c>
      <c r="F33" s="5">
        <f>2*(SUM(Stand!F34:F42)+4*Stand!F43)/13</f>
        <v>0.17974820582791531</v>
      </c>
      <c r="G33" s="5">
        <f>2*(SUM(Stand!G34:G42)+4*Stand!G43)/13</f>
        <v>-0.18386558001638134</v>
      </c>
      <c r="H33" s="5">
        <f>2*(SUM(Stand!H34:H42)+4*Stand!H43)/13</f>
        <v>-0.31444090236733879</v>
      </c>
      <c r="I33" s="5">
        <f>2*(SUM(Stand!I34:I42)+4*Stand!I43)/13</f>
        <v>-0.45636696328370852</v>
      </c>
      <c r="J33" s="5">
        <f>2*(SUM(Stand!J34:J42)+4*Stand!J43)/13</f>
        <v>-0.51402848824830905</v>
      </c>
      <c r="K33" s="5">
        <f>2*(SUM(Stand!K34:K42)+4*Stand!K43)/13</f>
        <v>-0.6243905676543714</v>
      </c>
    </row>
    <row r="34" spans="1:11" ht="12.5" x14ac:dyDescent="0.25">
      <c r="A34" s="5">
        <v>14</v>
      </c>
      <c r="B34" s="5">
        <f>2*(SUM(Stand!B35:B43)+4*Stand!B44)/13</f>
        <v>-7.1569957908215978E-2</v>
      </c>
      <c r="C34" s="5">
        <f>2*(SUM(Stand!C35:C43)+4*Stand!C44)/13</f>
        <v>-7.228094510458429E-3</v>
      </c>
      <c r="D34" s="5">
        <f>2*(SUM(Stand!D35:D43)+4*Stand!D44)/13</f>
        <v>5.8426518743744951E-2</v>
      </c>
      <c r="E34" s="5">
        <f>2*(SUM(Stand!E35:E43)+4*Stand!E44)/13</f>
        <v>0.12595448524867925</v>
      </c>
      <c r="F34" s="5">
        <f>2*(SUM(Stand!F35:F43)+4*Stand!F44)/13</f>
        <v>0.17974820582791531</v>
      </c>
      <c r="G34" s="5">
        <f>2*(SUM(Stand!G35:G43)+4*Stand!G44)/13</f>
        <v>-0.18386558001638134</v>
      </c>
      <c r="H34" s="5">
        <f>2*(SUM(Stand!H35:H43)+4*Stand!H44)/13</f>
        <v>-0.31444090236733879</v>
      </c>
      <c r="I34" s="5">
        <f>2*(SUM(Stand!I35:I43)+4*Stand!I44)/13</f>
        <v>-0.45636696328370852</v>
      </c>
      <c r="J34" s="5">
        <f>2*(SUM(Stand!J35:J43)+4*Stand!J44)/13</f>
        <v>-0.51402848824830905</v>
      </c>
      <c r="K34" s="5">
        <f>2*(SUM(Stand!K35:K43)+4*Stand!K44)/13</f>
        <v>-0.6243905676543714</v>
      </c>
    </row>
    <row r="35" spans="1:11" ht="12.5" x14ac:dyDescent="0.25">
      <c r="A35" s="5">
        <v>15</v>
      </c>
      <c r="B35" s="5">
        <f>2*(SUM(Stand!B36:B44)+4*Stand!B45)/13</f>
        <v>-7.1569957908215937E-2</v>
      </c>
      <c r="C35" s="5">
        <f>2*(SUM(Stand!C36:C44)+4*Stand!C45)/13</f>
        <v>-7.2280945104584975E-3</v>
      </c>
      <c r="D35" s="5">
        <f>2*(SUM(Stand!D36:D44)+4*Stand!D45)/13</f>
        <v>5.8426518743744923E-2</v>
      </c>
      <c r="E35" s="5">
        <f>2*(SUM(Stand!E36:E44)+4*Stand!E45)/13</f>
        <v>0.12595448524867925</v>
      </c>
      <c r="F35" s="5">
        <f>2*(SUM(Stand!F36:F44)+4*Stand!F45)/13</f>
        <v>0.17974820582791531</v>
      </c>
      <c r="G35" s="5">
        <f>2*(SUM(Stand!G36:G44)+4*Stand!G45)/13</f>
        <v>-0.1838655800163814</v>
      </c>
      <c r="H35" s="5">
        <f>2*(SUM(Stand!H36:H44)+4*Stand!H45)/13</f>
        <v>-0.31444090236733874</v>
      </c>
      <c r="I35" s="5">
        <f>2*(SUM(Stand!I36:I44)+4*Stand!I45)/13</f>
        <v>-0.45636696328370852</v>
      </c>
      <c r="J35" s="5">
        <f>2*(SUM(Stand!J36:J44)+4*Stand!J45)/13</f>
        <v>-0.51402848824830905</v>
      </c>
      <c r="K35" s="5">
        <f>2*(SUM(Stand!K36:K44)+4*Stand!K45)/13</f>
        <v>-0.6243905676543714</v>
      </c>
    </row>
    <row r="36" spans="1:11" ht="12.5" x14ac:dyDescent="0.25">
      <c r="A36" s="5">
        <v>16</v>
      </c>
      <c r="B36" s="5">
        <f>2*(SUM(Stand!B37:B45)+4*Stand!B46)/13</f>
        <v>-7.1569957908215937E-2</v>
      </c>
      <c r="C36" s="5">
        <f>2*(SUM(Stand!C37:C45)+4*Stand!C46)/13</f>
        <v>-7.2280945104584975E-3</v>
      </c>
      <c r="D36" s="5">
        <f>2*(SUM(Stand!D37:D45)+4*Stand!D46)/13</f>
        <v>5.8426518743744951E-2</v>
      </c>
      <c r="E36" s="5">
        <f>2*(SUM(Stand!E37:E45)+4*Stand!E46)/13</f>
        <v>0.12595448524867925</v>
      </c>
      <c r="F36" s="5">
        <f>2*(SUM(Stand!F37:F45)+4*Stand!F46)/13</f>
        <v>0.17974820582791523</v>
      </c>
      <c r="G36" s="5">
        <f>2*(SUM(Stand!G37:G45)+4*Stand!G46)/13</f>
        <v>-0.1838655800163814</v>
      </c>
      <c r="H36" s="5">
        <f>2*(SUM(Stand!H37:H45)+4*Stand!H46)/13</f>
        <v>-0.31444090236733874</v>
      </c>
      <c r="I36" s="5">
        <f>2*(SUM(Stand!I37:I45)+4*Stand!I46)/13</f>
        <v>-0.45636696328370852</v>
      </c>
      <c r="J36" s="5">
        <f>2*(SUM(Stand!J37:J45)+4*Stand!J46)/13</f>
        <v>-0.51402848824830905</v>
      </c>
      <c r="K36" s="5">
        <f>2*(SUM(Stand!K37:K45)+4*Stand!K46)/13</f>
        <v>-0.6243905676543714</v>
      </c>
    </row>
    <row r="37" spans="1:11" ht="12.5" x14ac:dyDescent="0.25">
      <c r="A37" s="5">
        <v>17</v>
      </c>
      <c r="B37" s="5">
        <f>2*(SUM(Stand!B38:B46)+4*Stand!B47)/13</f>
        <v>-7.0426627415689164E-3</v>
      </c>
      <c r="C37" s="5">
        <f>2*(SUM(Stand!C38:C46)+4*Stand!C47)/13</f>
        <v>5.5095284479298269E-2</v>
      </c>
      <c r="D37" s="5">
        <f>2*(SUM(Stand!D38:D46)+4*Stand!D47)/13</f>
        <v>0.11865255067432869</v>
      </c>
      <c r="E37" s="5">
        <f>2*(SUM(Stand!E38:E46)+4*Stand!E47)/13</f>
        <v>0.18237815537354879</v>
      </c>
      <c r="F37" s="5">
        <f>2*(SUM(Stand!F38:F46)+4*Stand!F47)/13</f>
        <v>0.25610428729099821</v>
      </c>
      <c r="G37" s="5">
        <f>2*(SUM(Stand!G38:G46)+4*Stand!G47)/13</f>
        <v>-1.3758105957502043E-2</v>
      </c>
      <c r="H37" s="5">
        <f>2*(SUM(Stand!H38:H46)+4*Stand!H47)/13</f>
        <v>-0.25510249723695255</v>
      </c>
      <c r="I37" s="5">
        <f>2*(SUM(Stand!I38:I46)+4*Stand!I47)/13</f>
        <v>-0.40098445182868137</v>
      </c>
      <c r="J37" s="5">
        <f>2*(SUM(Stand!J38:J46)+4*Stand!J47)/13</f>
        <v>-0.45831631898700209</v>
      </c>
      <c r="K37" s="5">
        <f>2*(SUM(Stand!K38:K46)+4*Stand!K47)/13</f>
        <v>-0.53719796779709139</v>
      </c>
    </row>
    <row r="38" spans="1:11" ht="12.5" x14ac:dyDescent="0.25">
      <c r="A38" s="5">
        <v>18</v>
      </c>
      <c r="B38" s="5">
        <f>2*(SUM(Stand!B39:B47)+4*Stand!B48)/13</f>
        <v>0.11974956336724479</v>
      </c>
      <c r="C38" s="5">
        <f>2*(SUM(Stand!C39:C47)+4*Stand!C48)/13</f>
        <v>0.1776412756789375</v>
      </c>
      <c r="D38" s="5">
        <f>2*(SUM(Stand!D39:D47)+4*Stand!D48)/13</f>
        <v>0.23700384775562167</v>
      </c>
      <c r="E38" s="5">
        <f>2*(SUM(Stand!E39:E47)+4*Stand!E48)/13</f>
        <v>0.29522549562328804</v>
      </c>
      <c r="F38" s="5">
        <f>2*(SUM(Stand!F39:F47)+4*Stand!F48)/13</f>
        <v>0.38150648207879362</v>
      </c>
      <c r="G38" s="5">
        <f>2*(SUM(Stand!G39:G47)+4*Stand!G48)/13</f>
        <v>0.21994796642061171</v>
      </c>
      <c r="H38" s="5">
        <f>2*(SUM(Stand!H39:H47)+4*Stand!H48)/13</f>
        <v>-2.9916811236535352E-2</v>
      </c>
      <c r="I38" s="5">
        <f>2*(SUM(Stand!I39:I47)+4*Stand!I48)/13</f>
        <v>-0.29021942891862718</v>
      </c>
      <c r="J38" s="5">
        <f>2*(SUM(Stand!J39:J47)+4*Stand!J48)/13</f>
        <v>-0.34689198046438807</v>
      </c>
      <c r="K38" s="5">
        <f>2*(SUM(Stand!K39:K47)+4*Stand!K48)/13</f>
        <v>-0.36281276808253149</v>
      </c>
    </row>
    <row r="39" spans="1:11" ht="12.5" x14ac:dyDescent="0.25">
      <c r="A39" s="5">
        <v>19</v>
      </c>
      <c r="B39" s="5">
        <f>2*(SUM(Stand!B40:B48)+4*Stand!B49)/13</f>
        <v>0.24185546358249196</v>
      </c>
      <c r="C39" s="5">
        <f>2*(SUM(Stand!C40:C48)+4*Stand!C49)/13</f>
        <v>0.29582413587422152</v>
      </c>
      <c r="D39" s="5">
        <f>2*(SUM(Stand!D40:D48)+4*Stand!D49)/13</f>
        <v>0.35115361127716532</v>
      </c>
      <c r="E39" s="5">
        <f>2*(SUM(Stand!E40:E48)+4*Stand!E49)/13</f>
        <v>0.40597206909315264</v>
      </c>
      <c r="F39" s="5">
        <f>2*(SUM(Stand!F40:F48)+4*Stand!F49)/13</f>
        <v>0.47959870872821847</v>
      </c>
      <c r="G39" s="5">
        <f>2*(SUM(Stand!G40:G48)+4*Stand!G49)/13</f>
        <v>0.31983519492071005</v>
      </c>
      <c r="H39" s="5">
        <f>2*(SUM(Stand!H40:H48)+4*Stand!H49)/13</f>
        <v>0.19526887476388194</v>
      </c>
      <c r="I39" s="5">
        <f>2*(SUM(Stand!I40:I48)+4*Stand!I49)/13</f>
        <v>-7.2945530268928041E-2</v>
      </c>
      <c r="J39" s="5">
        <f>2*(SUM(Stand!J40:J48)+4*Stand!J49)/13</f>
        <v>-0.23546764194177403</v>
      </c>
      <c r="K39" s="5">
        <f>2*(SUM(Stand!K40:K48)+4*Stand!K49)/13</f>
        <v>-0.18842756836797164</v>
      </c>
    </row>
    <row r="40" spans="1:11" ht="12.5" x14ac:dyDescent="0.25">
      <c r="A40" s="5">
        <v>20</v>
      </c>
      <c r="B40" s="5">
        <f>2*(SUM(Stand!B41:B49)+4*Stand!B50)/13</f>
        <v>0.3589394124422991</v>
      </c>
      <c r="C40" s="5">
        <f>2*(SUM(Stand!C41:C49)+4*Stand!C50)/13</f>
        <v>0.40932067017593915</v>
      </c>
      <c r="D40" s="5">
        <f>2*(SUM(Stand!D41:D49)+4*Stand!D50)/13</f>
        <v>0.460940243794354</v>
      </c>
      <c r="E40" s="5">
        <f>2*(SUM(Stand!E41:E49)+4*Stand!E50)/13</f>
        <v>0.51251710900326775</v>
      </c>
      <c r="F40" s="5">
        <f>2*(SUM(Stand!F41:F49)+4*Stand!F50)/13</f>
        <v>0.57559016859776868</v>
      </c>
      <c r="G40" s="5">
        <f>2*(SUM(Stand!G41:G49)+4*Stand!G50)/13</f>
        <v>0.39241245528243779</v>
      </c>
      <c r="H40" s="5">
        <f>2*(SUM(Stand!H41:H49)+4*Stand!H50)/13</f>
        <v>0.28663571688628375</v>
      </c>
      <c r="I40" s="5">
        <f>2*(SUM(Stand!I41:I49)+4*Stand!I50)/13</f>
        <v>0.14432836838077115</v>
      </c>
      <c r="J40" s="5">
        <f>2*(SUM(Stand!J41:J49)+4*Stand!J50)/13</f>
        <v>-8.6586880345446409E-3</v>
      </c>
      <c r="K40" s="5">
        <f>2*(SUM(Stand!K41:K49)+4*Stand!K50)/13</f>
        <v>-1.4042368653411618E-2</v>
      </c>
    </row>
    <row r="41" spans="1:11" ht="12.5" x14ac:dyDescent="0.25">
      <c r="A41" s="5">
        <v>21</v>
      </c>
      <c r="B41" s="5">
        <f>2*(SUM(Stand!B42:B50)+4*Stand!B51)/13</f>
        <v>0.47064092333946894</v>
      </c>
      <c r="C41" s="5">
        <f>2*(SUM(Stand!C42:C50)+4*Stand!C51)/13</f>
        <v>0.51779525312221664</v>
      </c>
      <c r="D41" s="5">
        <f>2*(SUM(Stand!D42:D50)+4*Stand!D51)/13</f>
        <v>0.56604055041797596</v>
      </c>
      <c r="E41" s="5">
        <f>2*(SUM(Stand!E42:E50)+4*Stand!E51)/13</f>
        <v>0.61469901790902803</v>
      </c>
      <c r="F41" s="5">
        <f>2*(SUM(Stand!F42:F50)+4*Stand!F51)/13</f>
        <v>0.66738009490756955</v>
      </c>
      <c r="G41" s="5">
        <f>2*(SUM(Stand!G42:G50)+4*Stand!G51)/13</f>
        <v>0.46288894886429088</v>
      </c>
      <c r="H41" s="5">
        <f>2*(SUM(Stand!H42:H50)+4*Stand!H51)/13</f>
        <v>0.35069259087031512</v>
      </c>
      <c r="I41" s="5">
        <f>2*(SUM(Stand!I42:I50)+4*Stand!I51)/13</f>
        <v>0.22778342315245478</v>
      </c>
      <c r="J41" s="5">
        <f>2*(SUM(Stand!J42:J50)+4*Stand!J51)/13</f>
        <v>0.17968872741114625</v>
      </c>
      <c r="K41" s="5">
        <f>2*(SUM(Stand!K42:K50)+4*Stand!K51)/13</f>
        <v>0.10906077977909699</v>
      </c>
    </row>
    <row r="42" spans="1:11" ht="12.5" x14ac:dyDescent="0.25">
      <c r="A42" s="5">
        <v>22</v>
      </c>
      <c r="B42" s="5">
        <f t="shared" ref="B42:K42" si="0">B10</f>
        <v>-0.50677997193327617</v>
      </c>
      <c r="C42" s="5">
        <f t="shared" si="0"/>
        <v>-0.46738179959617321</v>
      </c>
      <c r="D42" s="5">
        <f t="shared" si="0"/>
        <v>-0.4270731064901539</v>
      </c>
      <c r="E42" s="5">
        <f t="shared" si="0"/>
        <v>-0.38654233885256678</v>
      </c>
      <c r="F42" s="5">
        <f t="shared" si="0"/>
        <v>-0.34105239981515889</v>
      </c>
      <c r="G42" s="5">
        <f t="shared" si="0"/>
        <v>-0.50671162107673007</v>
      </c>
      <c r="H42" s="5">
        <f t="shared" si="0"/>
        <v>-0.61566089283034364</v>
      </c>
      <c r="I42" s="5">
        <f t="shared" si="0"/>
        <v>-0.73750562104917949</v>
      </c>
      <c r="J42" s="5">
        <f t="shared" si="0"/>
        <v>-0.79684059040524136</v>
      </c>
      <c r="K42" s="5">
        <f t="shared" si="0"/>
        <v>-0.82934393707867271</v>
      </c>
    </row>
    <row r="43" spans="1:11" ht="12.5" x14ac:dyDescent="0.25">
      <c r="A43" s="5">
        <v>23</v>
      </c>
      <c r="B43" s="5">
        <f t="shared" ref="B43:K43" si="1">B11</f>
        <v>-0.61558247543954114</v>
      </c>
      <c r="C43" s="5">
        <f t="shared" si="1"/>
        <v>-0.58242022586760189</v>
      </c>
      <c r="D43" s="5">
        <f t="shared" si="1"/>
        <v>-0.54844801279862865</v>
      </c>
      <c r="E43" s="5">
        <f t="shared" si="1"/>
        <v>-0.51466654487787822</v>
      </c>
      <c r="F43" s="5">
        <f t="shared" si="1"/>
        <v>-0.47125255122592746</v>
      </c>
      <c r="G43" s="5">
        <f t="shared" si="1"/>
        <v>-0.58742313134181734</v>
      </c>
      <c r="H43" s="5">
        <f t="shared" si="1"/>
        <v>-0.6909658904460948</v>
      </c>
      <c r="I43" s="5">
        <f t="shared" si="1"/>
        <v>-0.80779028549054732</v>
      </c>
      <c r="J43" s="5">
        <f t="shared" si="1"/>
        <v>-0.86754361594447438</v>
      </c>
      <c r="K43" s="5">
        <f t="shared" si="1"/>
        <v>-0.88058227943474798</v>
      </c>
    </row>
    <row r="44" spans="1:11" ht="12.5" x14ac:dyDescent="0.25">
      <c r="A44" s="5">
        <v>24</v>
      </c>
      <c r="B44" s="5">
        <f t="shared" ref="B44:K44" si="2">B12</f>
        <v>-0.72438497894580622</v>
      </c>
      <c r="C44" s="5">
        <f t="shared" si="2"/>
        <v>-0.69745865213903058</v>
      </c>
      <c r="D44" s="5">
        <f t="shared" si="2"/>
        <v>-0.66982291910710334</v>
      </c>
      <c r="E44" s="5">
        <f t="shared" si="2"/>
        <v>-0.64279075090318982</v>
      </c>
      <c r="F44" s="5">
        <f t="shared" si="2"/>
        <v>-0.60145270263669603</v>
      </c>
      <c r="G44" s="5">
        <f t="shared" si="2"/>
        <v>-0.66813464160690461</v>
      </c>
      <c r="H44" s="5">
        <f t="shared" si="2"/>
        <v>-0.76627088806184607</v>
      </c>
      <c r="I44" s="5">
        <f t="shared" si="2"/>
        <v>-0.87807494993191504</v>
      </c>
      <c r="J44" s="5">
        <f t="shared" si="2"/>
        <v>-0.93824664148370751</v>
      </c>
      <c r="K44" s="5">
        <f t="shared" si="2"/>
        <v>-0.93182062179082337</v>
      </c>
    </row>
    <row r="45" spans="1:11" ht="12.5" x14ac:dyDescent="0.25">
      <c r="A45" s="5">
        <v>25</v>
      </c>
      <c r="B45" s="5">
        <f t="shared" ref="B45:K45" si="3">B13</f>
        <v>-0.83318748245207119</v>
      </c>
      <c r="C45" s="5">
        <f t="shared" si="3"/>
        <v>-0.81249707841045926</v>
      </c>
      <c r="D45" s="5">
        <f t="shared" si="3"/>
        <v>-0.79119782541557804</v>
      </c>
      <c r="E45" s="5">
        <f t="shared" si="3"/>
        <v>-0.77091495692850132</v>
      </c>
      <c r="F45" s="5">
        <f t="shared" si="3"/>
        <v>-0.7316528540474645</v>
      </c>
      <c r="G45" s="5">
        <f t="shared" si="3"/>
        <v>-0.74884615187199166</v>
      </c>
      <c r="H45" s="5">
        <f t="shared" si="3"/>
        <v>-0.84157588567759722</v>
      </c>
      <c r="I45" s="5">
        <f t="shared" si="3"/>
        <v>-0.94835961437328287</v>
      </c>
      <c r="J45" s="5">
        <f t="shared" si="3"/>
        <v>-1.0089496670229405</v>
      </c>
      <c r="K45" s="5">
        <f t="shared" si="3"/>
        <v>-0.98305896414689875</v>
      </c>
    </row>
    <row r="46" spans="1:11" ht="12.5" x14ac:dyDescent="0.25">
      <c r="A46" s="5">
        <v>26</v>
      </c>
      <c r="B46" s="5">
        <f t="shared" ref="B46:K46" si="4">B14</f>
        <v>-0.94198998595833616</v>
      </c>
      <c r="C46" s="5">
        <f t="shared" si="4"/>
        <v>-0.92753550468188806</v>
      </c>
      <c r="D46" s="5">
        <f t="shared" si="4"/>
        <v>-0.91257273172405273</v>
      </c>
      <c r="E46" s="5">
        <f t="shared" si="4"/>
        <v>-0.89903916295381281</v>
      </c>
      <c r="F46" s="5">
        <f t="shared" si="4"/>
        <v>-0.86185300545823318</v>
      </c>
      <c r="G46" s="5">
        <f t="shared" si="4"/>
        <v>-0.82955766213707893</v>
      </c>
      <c r="H46" s="5">
        <f t="shared" si="4"/>
        <v>-0.91688088329334838</v>
      </c>
      <c r="I46" s="5">
        <f t="shared" si="4"/>
        <v>-1.0186442788146506</v>
      </c>
      <c r="J46" s="5">
        <f t="shared" si="4"/>
        <v>-1.0796526925621737</v>
      </c>
      <c r="K46" s="5">
        <f t="shared" si="4"/>
        <v>-1.0342973065029741</v>
      </c>
    </row>
    <row r="47" spans="1:11" ht="12.5" x14ac:dyDescent="0.25">
      <c r="A47" s="5">
        <v>27</v>
      </c>
      <c r="B47" s="5">
        <f t="shared" ref="B47:K47" si="5">B15</f>
        <v>-1.0723015878534836</v>
      </c>
      <c r="C47" s="5">
        <f t="shared" si="5"/>
        <v>-1.0633483906165691</v>
      </c>
      <c r="D47" s="5">
        <f t="shared" si="5"/>
        <v>-1.0540229820093887</v>
      </c>
      <c r="E47" s="5">
        <f t="shared" si="5"/>
        <v>-1.0459712590207475</v>
      </c>
      <c r="F47" s="5">
        <f t="shared" si="5"/>
        <v>-1.0175051840233627</v>
      </c>
      <c r="G47" s="5">
        <f t="shared" si="5"/>
        <v>-0.96697166375512589</v>
      </c>
      <c r="H47" s="5">
        <f t="shared" si="5"/>
        <v>-1.0119653492858949</v>
      </c>
      <c r="I47" s="5">
        <f t="shared" si="5"/>
        <v>-1.107389780407694</v>
      </c>
      <c r="J47" s="5">
        <f t="shared" si="5"/>
        <v>-1.1689264411885092</v>
      </c>
      <c r="K47" s="5">
        <f t="shared" si="5"/>
        <v>-1.1145998488114761</v>
      </c>
    </row>
    <row r="48" spans="1:11" ht="12.5" x14ac:dyDescent="0.25">
      <c r="A48" s="5">
        <v>28</v>
      </c>
      <c r="B48" s="5">
        <f t="shared" ref="B48:K48" si="6">B16</f>
        <v>-1.2448772651182354</v>
      </c>
      <c r="C48" s="5">
        <f t="shared" si="6"/>
        <v>-1.2400099402844629</v>
      </c>
      <c r="D48" s="5">
        <f t="shared" si="6"/>
        <v>-1.2349236646551558</v>
      </c>
      <c r="E48" s="5">
        <f t="shared" si="6"/>
        <v>-1.2305191351709286</v>
      </c>
      <c r="F48" s="5">
        <f t="shared" si="6"/>
        <v>-1.214958094184424</v>
      </c>
      <c r="G48" s="5">
        <f t="shared" si="6"/>
        <v>-1.1822876894992107</v>
      </c>
      <c r="H48" s="5">
        <f t="shared" si="6"/>
        <v>-1.1821117106119141</v>
      </c>
      <c r="I48" s="5">
        <f t="shared" si="6"/>
        <v>-1.2330569563040892</v>
      </c>
      <c r="J48" s="5">
        <f t="shared" si="6"/>
        <v>-1.2953416359890491</v>
      </c>
      <c r="K48" s="5">
        <f t="shared" si="6"/>
        <v>-1.2530307910248313</v>
      </c>
    </row>
    <row r="49" spans="1:11" ht="12.5" x14ac:dyDescent="0.25">
      <c r="A49" s="5">
        <v>29</v>
      </c>
      <c r="B49" s="5">
        <f t="shared" ref="B49:K49" si="7">B17</f>
        <v>-1.4581549091214032</v>
      </c>
      <c r="C49" s="5">
        <f t="shared" si="7"/>
        <v>-1.4560657766841183</v>
      </c>
      <c r="D49" s="5">
        <f t="shared" si="7"/>
        <v>-1.4538742684747705</v>
      </c>
      <c r="E49" s="5">
        <f t="shared" si="7"/>
        <v>-1.4519825358110645</v>
      </c>
      <c r="F49" s="5">
        <f t="shared" si="7"/>
        <v>-1.4451084132286272</v>
      </c>
      <c r="G49" s="5">
        <f t="shared" si="7"/>
        <v>-1.4308994580766619</v>
      </c>
      <c r="H49" s="5">
        <f t="shared" si="7"/>
        <v>-1.4273199672714054</v>
      </c>
      <c r="I49" s="5">
        <f t="shared" si="7"/>
        <v>-1.4311487650837169</v>
      </c>
      <c r="J49" s="5">
        <f t="shared" si="7"/>
        <v>-1.4588982769637939</v>
      </c>
      <c r="K49" s="5">
        <f t="shared" si="7"/>
        <v>-1.4495901331430401</v>
      </c>
    </row>
    <row r="50" spans="1:11" ht="12.5" x14ac:dyDescent="0.25">
      <c r="A50" s="5">
        <v>30</v>
      </c>
      <c r="B50" s="5">
        <f t="shared" ref="B50:K50" si="8">B18</f>
        <v>-1.7104605360778398</v>
      </c>
      <c r="C50" s="5">
        <f t="shared" si="8"/>
        <v>-1.7099537911843465</v>
      </c>
      <c r="D50" s="5">
        <f t="shared" si="8"/>
        <v>-1.7094204164667817</v>
      </c>
      <c r="E50" s="5">
        <f t="shared" si="8"/>
        <v>-1.7089609497545721</v>
      </c>
      <c r="F50" s="5">
        <f t="shared" si="8"/>
        <v>-1.7072558855626798</v>
      </c>
      <c r="G50" s="5">
        <f t="shared" si="8"/>
        <v>-1.7037036467746889</v>
      </c>
      <c r="H50" s="5">
        <f t="shared" si="8"/>
        <v>-1.7029838379716975</v>
      </c>
      <c r="I50" s="5">
        <f t="shared" si="8"/>
        <v>-1.7016652067465778</v>
      </c>
      <c r="J50" s="5">
        <f t="shared" si="8"/>
        <v>-1.6980579025742819</v>
      </c>
      <c r="K50" s="5">
        <f t="shared" si="8"/>
        <v>-1.7042778751661016</v>
      </c>
    </row>
    <row r="51" spans="1:11" ht="12.5" x14ac:dyDescent="0.25">
      <c r="A51" s="5">
        <v>31</v>
      </c>
      <c r="B51" s="5">
        <f t="shared" ref="B51:K51" si="9">B19</f>
        <v>-2</v>
      </c>
      <c r="C51" s="5">
        <f t="shared" si="9"/>
        <v>-2</v>
      </c>
      <c r="D51" s="5">
        <f t="shared" si="9"/>
        <v>-2</v>
      </c>
      <c r="E51" s="5">
        <f t="shared" si="9"/>
        <v>-2</v>
      </c>
      <c r="F51" s="5">
        <f t="shared" si="9"/>
        <v>-2</v>
      </c>
      <c r="G51" s="5">
        <f t="shared" si="9"/>
        <v>-2</v>
      </c>
      <c r="H51" s="5">
        <f t="shared" si="9"/>
        <v>-2</v>
      </c>
      <c r="I51" s="5">
        <f t="shared" si="9"/>
        <v>-2</v>
      </c>
      <c r="J51" s="5">
        <f t="shared" si="9"/>
        <v>-2</v>
      </c>
      <c r="K51" s="5">
        <f t="shared" si="9"/>
        <v>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51"/>
  <sheetViews>
    <sheetView workbookViewId="0"/>
  </sheetViews>
  <sheetFormatPr defaultColWidth="12.6328125" defaultRowHeight="15.75" customHeight="1" x14ac:dyDescent="0.25"/>
  <cols>
    <col min="14" max="23" width="4.7265625" customWidth="1"/>
  </cols>
  <sheetData>
    <row r="1" spans="1:23" ht="15.75" customHeight="1" x14ac:dyDescent="0.25">
      <c r="A1" s="5" t="s">
        <v>1</v>
      </c>
      <c r="B1" s="5">
        <v>2</v>
      </c>
      <c r="C1" s="5">
        <v>3</v>
      </c>
      <c r="D1" s="5">
        <v>4</v>
      </c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 t="s">
        <v>2</v>
      </c>
      <c r="M1" s="5" t="s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  <c r="W1" s="2" t="s">
        <v>2</v>
      </c>
    </row>
    <row r="2" spans="1:23" ht="15.75" customHeight="1" x14ac:dyDescent="0.25">
      <c r="A2" s="5">
        <v>4</v>
      </c>
      <c r="B2" s="5">
        <f>MAX(Hit!B2,Stand!B2,Double!B2)</f>
        <v>-0.11491332761892134</v>
      </c>
      <c r="C2" s="5">
        <f>MAX(Hit!C2,Stand!C2,Double!C2)</f>
        <v>-8.2613314299744375E-2</v>
      </c>
      <c r="D2" s="5">
        <f>MAX(Hit!D2,Stand!D2,Double!D2)</f>
        <v>-4.9367420106916908E-2</v>
      </c>
      <c r="E2" s="5">
        <f>MAX(Hit!E2,Stand!E2,Double!E2)</f>
        <v>-1.2379926519926384E-2</v>
      </c>
      <c r="F2" s="5">
        <f>MAX(Hit!F2,Stand!F2,Double!F2)</f>
        <v>1.1130417280979889E-2</v>
      </c>
      <c r="G2" s="5">
        <f>MAX(Hit!G2,Stand!G2,Double!G2)</f>
        <v>-8.8279201058463722E-2</v>
      </c>
      <c r="H2" s="5">
        <f>MAX(Hit!H2,Stand!H2,Double!H2)</f>
        <v>-0.15933415266020509</v>
      </c>
      <c r="I2" s="5">
        <f>MAX(Hit!I2,Stand!I2,Double!I2)</f>
        <v>-0.24066617915336547</v>
      </c>
      <c r="J2" s="5">
        <f>MAX(Hit!J2,Stand!J2,Double!J2)</f>
        <v>-0.28919791448567511</v>
      </c>
      <c r="K2" s="5">
        <f>MAX(Hit!K2,Stand!K2,Double!K2)</f>
        <v>-0.25307699440390868</v>
      </c>
      <c r="M2" s="5">
        <v>4</v>
      </c>
      <c r="N2" s="2" t="str">
        <f>IF(B2=Stand!B2,"S",IF(B2=Double!B2,"D","H"))</f>
        <v>H</v>
      </c>
      <c r="O2" s="2" t="str">
        <f>IF(C2=Stand!C2,"S",IF(C2=Double!C2,"D","H"))</f>
        <v>H</v>
      </c>
      <c r="P2" s="2" t="str">
        <f>IF(D2=Stand!D2,"S",IF(D2=Double!D2,"D","H"))</f>
        <v>H</v>
      </c>
      <c r="Q2" s="2" t="str">
        <f>IF(E2=Stand!E2,"S",IF(E2=Double!E2,"D","H"))</f>
        <v>H</v>
      </c>
      <c r="R2" s="2" t="str">
        <f>IF(F2=Stand!F2,"S",IF(F2=Double!F2,"D","H"))</f>
        <v>H</v>
      </c>
      <c r="S2" s="2" t="str">
        <f>IF(G2=Stand!G2,"S",IF(G2=Double!G2,"D","H"))</f>
        <v>H</v>
      </c>
      <c r="T2" s="2" t="str">
        <f>IF(H2=Stand!H2,"S",IF(H2=Double!H2,"D","H"))</f>
        <v>H</v>
      </c>
      <c r="U2" s="2" t="str">
        <f>IF(I2=Stand!I2,"S",IF(I2=Double!I2,"D","H"))</f>
        <v>H</v>
      </c>
      <c r="V2" s="2" t="str">
        <f>IF(J2=Stand!J2,"S",IF(J2=Double!J2,"D","H"))</f>
        <v>H</v>
      </c>
      <c r="W2" s="2" t="str">
        <f>IF(K2=Stand!K2,"S",IF(K2=Double!K2,"D","H"))</f>
        <v>H</v>
      </c>
    </row>
    <row r="3" spans="1:23" ht="15.75" customHeight="1" x14ac:dyDescent="0.25">
      <c r="A3" s="5">
        <v>5</v>
      </c>
      <c r="B3" s="5">
        <f>MAX(Hit!B3,Stand!B3,Double!B3)</f>
        <v>-0.12821556706374745</v>
      </c>
      <c r="C3" s="5">
        <f>MAX(Hit!C3,Stand!C3,Double!C3)</f>
        <v>-9.5310227261489883E-2</v>
      </c>
      <c r="D3" s="5">
        <f>MAX(Hit!D3,Stand!D3,Double!D3)</f>
        <v>-6.1479464199694238E-2</v>
      </c>
      <c r="E3" s="5">
        <f>MAX(Hit!E3,Stand!E3,Double!E3)</f>
        <v>-2.397897039185962E-2</v>
      </c>
      <c r="F3" s="5">
        <f>MAX(Hit!F3,Stand!F3,Double!F3)</f>
        <v>-1.1863378384400908E-3</v>
      </c>
      <c r="G3" s="5">
        <f>MAX(Hit!G3,Stand!G3,Double!G3)</f>
        <v>-0.11944744188414852</v>
      </c>
      <c r="H3" s="5">
        <f>MAX(Hit!H3,Stand!H3,Double!H3)</f>
        <v>-0.18809330390318518</v>
      </c>
      <c r="I3" s="5">
        <f>MAX(Hit!I3,Stand!I3,Double!I3)</f>
        <v>-0.2666150533579591</v>
      </c>
      <c r="J3" s="5">
        <f>MAX(Hit!J3,Stand!J3,Double!J3)</f>
        <v>-0.31341164336497107</v>
      </c>
      <c r="K3" s="5">
        <f>MAX(Hit!K3,Stand!K3,Double!K3)</f>
        <v>-0.27857459755181968</v>
      </c>
      <c r="M3" s="5">
        <v>5</v>
      </c>
      <c r="N3" s="2" t="str">
        <f>IF(B3=Stand!B3,"S",IF(B3=Double!B3,"D","H"))</f>
        <v>H</v>
      </c>
      <c r="O3" s="2" t="str">
        <f>IF(C3=Stand!C3,"S",IF(C3=Double!C3,"D","H"))</f>
        <v>H</v>
      </c>
      <c r="P3" s="2" t="str">
        <f>IF(D3=Stand!D3,"S",IF(D3=Double!D3,"D","H"))</f>
        <v>H</v>
      </c>
      <c r="Q3" s="2" t="str">
        <f>IF(E3=Stand!E3,"S",IF(E3=Double!E3,"D","H"))</f>
        <v>H</v>
      </c>
      <c r="R3" s="2" t="str">
        <f>IF(F3=Stand!F3,"S",IF(F3=Double!F3,"D","H"))</f>
        <v>H</v>
      </c>
      <c r="S3" s="2" t="str">
        <f>IF(G3=Stand!G3,"S",IF(G3=Double!G3,"D","H"))</f>
        <v>H</v>
      </c>
      <c r="T3" s="2" t="str">
        <f>IF(H3=Stand!H3,"S",IF(H3=Double!H3,"D","H"))</f>
        <v>H</v>
      </c>
      <c r="U3" s="2" t="str">
        <f>IF(I3=Stand!I3,"S",IF(I3=Double!I3,"D","H"))</f>
        <v>H</v>
      </c>
      <c r="V3" s="2" t="str">
        <f>IF(J3=Stand!J3,"S",IF(J3=Double!J3,"D","H"))</f>
        <v>H</v>
      </c>
      <c r="W3" s="2" t="str">
        <f>IF(K3=Stand!K3,"S",IF(K3=Double!K3,"D","H"))</f>
        <v>H</v>
      </c>
    </row>
    <row r="4" spans="1:23" ht="15.75" customHeight="1" x14ac:dyDescent="0.25">
      <c r="A4" s="5">
        <v>6</v>
      </c>
      <c r="B4" s="5">
        <f>MAX(Hit!B4,Stand!B4,Double!B4)</f>
        <v>-0.14075911746001987</v>
      </c>
      <c r="C4" s="5">
        <f>MAX(Hit!C4,Stand!C4,Double!C4)</f>
        <v>-0.10729107800860836</v>
      </c>
      <c r="D4" s="5">
        <f>MAX(Hit!D4,Stand!D4,Double!D4)</f>
        <v>-7.2917141926387305E-2</v>
      </c>
      <c r="E4" s="5">
        <f>MAX(Hit!E4,Stand!E4,Double!E4)</f>
        <v>-3.4915973330102178E-2</v>
      </c>
      <c r="F4" s="5">
        <f>MAX(Hit!F4,Stand!F4,Double!F4)</f>
        <v>-1.3005835529874204E-2</v>
      </c>
      <c r="G4" s="5">
        <f>MAX(Hit!G4,Stand!G4,Double!G4)</f>
        <v>-0.15193270723669944</v>
      </c>
      <c r="H4" s="5">
        <f>MAX(Hit!H4,Stand!H4,Double!H4)</f>
        <v>-0.21724188132078476</v>
      </c>
      <c r="I4" s="5">
        <f>MAX(Hit!I4,Stand!I4,Double!I4)</f>
        <v>-0.29264070019772598</v>
      </c>
      <c r="J4" s="5">
        <f>MAX(Hit!J4,Stand!J4,Double!J4)</f>
        <v>-0.33774944037840804</v>
      </c>
      <c r="K4" s="5">
        <f>MAX(Hit!K4,Stand!K4,Double!K4)</f>
        <v>-0.30414663097569938</v>
      </c>
      <c r="M4" s="5">
        <v>6</v>
      </c>
      <c r="N4" s="2" t="str">
        <f>IF(B4=Stand!B4,"S",IF(B4=Double!B4,"D","H"))</f>
        <v>H</v>
      </c>
      <c r="O4" s="2" t="str">
        <f>IF(C4=Stand!C4,"S",IF(C4=Double!C4,"D","H"))</f>
        <v>H</v>
      </c>
      <c r="P4" s="2" t="str">
        <f>IF(D4=Stand!D4,"S",IF(D4=Double!D4,"D","H"))</f>
        <v>H</v>
      </c>
      <c r="Q4" s="2" t="str">
        <f>IF(E4=Stand!E4,"S",IF(E4=Double!E4,"D","H"))</f>
        <v>H</v>
      </c>
      <c r="R4" s="2" t="str">
        <f>IF(F4=Stand!F4,"S",IF(F4=Double!F4,"D","H"))</f>
        <v>H</v>
      </c>
      <c r="S4" s="2" t="str">
        <f>IF(G4=Stand!G4,"S",IF(G4=Double!G4,"D","H"))</f>
        <v>H</v>
      </c>
      <c r="T4" s="2" t="str">
        <f>IF(H4=Stand!H4,"S",IF(H4=Double!H4,"D","H"))</f>
        <v>H</v>
      </c>
      <c r="U4" s="2" t="str">
        <f>IF(I4=Stand!I4,"S",IF(I4=Double!I4,"D","H"))</f>
        <v>H</v>
      </c>
      <c r="V4" s="2" t="str">
        <f>IF(J4=Stand!J4,"S",IF(J4=Double!J4,"D","H"))</f>
        <v>H</v>
      </c>
      <c r="W4" s="2" t="str">
        <f>IF(K4=Stand!K4,"S",IF(K4=Double!K4,"D","H"))</f>
        <v>H</v>
      </c>
    </row>
    <row r="5" spans="1:23" ht="15.75" customHeight="1" x14ac:dyDescent="0.25">
      <c r="A5" s="5">
        <v>7</v>
      </c>
      <c r="B5" s="5">
        <f>MAX(Hit!B5,Stand!B5,Double!B5)</f>
        <v>-0.10918342786661633</v>
      </c>
      <c r="C5" s="5">
        <f>MAX(Hit!C5,Stand!C5,Double!C5)</f>
        <v>-7.658298190446361E-2</v>
      </c>
      <c r="D5" s="5">
        <f>MAX(Hit!D5,Stand!D5,Double!D5)</f>
        <v>-4.3021794004341876E-2</v>
      </c>
      <c r="E5" s="5">
        <f>MAX(Hit!E5,Stand!E5,Double!E5)</f>
        <v>-7.2713609029408845E-3</v>
      </c>
      <c r="F5" s="5">
        <f>MAX(Hit!F5,Stand!F5,Double!F5)</f>
        <v>2.9185342353860964E-2</v>
      </c>
      <c r="G5" s="5">
        <f>MAX(Hit!G5,Stand!G5,Double!G5)</f>
        <v>-6.8807799580427764E-2</v>
      </c>
      <c r="H5" s="5">
        <f>MAX(Hit!H5,Stand!H5,Double!H5)</f>
        <v>-0.21060476872434966</v>
      </c>
      <c r="I5" s="5">
        <f>MAX(Hit!I5,Stand!I5,Double!I5)</f>
        <v>-0.28536544048687662</v>
      </c>
      <c r="J5" s="5">
        <f>MAX(Hit!J5,Stand!J5,Double!J5)</f>
        <v>-0.31905479139833842</v>
      </c>
      <c r="K5" s="5">
        <f>MAX(Hit!K5,Stand!K5,Double!K5)</f>
        <v>-0.31007165033163697</v>
      </c>
      <c r="M5" s="5">
        <v>7</v>
      </c>
      <c r="N5" s="2" t="str">
        <f>IF(B5=Stand!B5,"S",IF(B5=Double!B5,"D","H"))</f>
        <v>H</v>
      </c>
      <c r="O5" s="2" t="str">
        <f>IF(C5=Stand!C5,"S",IF(C5=Double!C5,"D","H"))</f>
        <v>H</v>
      </c>
      <c r="P5" s="2" t="str">
        <f>IF(D5=Stand!D5,"S",IF(D5=Double!D5,"D","H"))</f>
        <v>H</v>
      </c>
      <c r="Q5" s="2" t="str">
        <f>IF(E5=Stand!E5,"S",IF(E5=Double!E5,"D","H"))</f>
        <v>H</v>
      </c>
      <c r="R5" s="2" t="str">
        <f>IF(F5=Stand!F5,"S",IF(F5=Double!F5,"D","H"))</f>
        <v>H</v>
      </c>
      <c r="S5" s="2" t="str">
        <f>IF(G5=Stand!G5,"S",IF(G5=Double!G5,"D","H"))</f>
        <v>H</v>
      </c>
      <c r="T5" s="2" t="str">
        <f>IF(H5=Stand!H5,"S",IF(H5=Double!H5,"D","H"))</f>
        <v>H</v>
      </c>
      <c r="U5" s="2" t="str">
        <f>IF(I5=Stand!I5,"S",IF(I5=Double!I5,"D","H"))</f>
        <v>H</v>
      </c>
      <c r="V5" s="2" t="str">
        <f>IF(J5=Stand!J5,"S",IF(J5=Double!J5,"D","H"))</f>
        <v>H</v>
      </c>
      <c r="W5" s="2" t="str">
        <f>IF(K5=Stand!K5,"S",IF(K5=Double!K5,"D","H"))</f>
        <v>H</v>
      </c>
    </row>
    <row r="6" spans="1:23" ht="15.75" customHeight="1" x14ac:dyDescent="0.25">
      <c r="A6" s="5">
        <v>8</v>
      </c>
      <c r="B6" s="5">
        <f>MAX(Hit!B6,Stand!B6,Double!B6)</f>
        <v>-2.1798188008805668E-2</v>
      </c>
      <c r="C6" s="5">
        <f>MAX(Hit!C6,Stand!C6,Double!C6)</f>
        <v>8.0052625306546651E-3</v>
      </c>
      <c r="D6" s="5">
        <f>MAX(Hit!D6,Stand!D6,Double!D6)</f>
        <v>3.8784473277208811E-2</v>
      </c>
      <c r="E6" s="5">
        <f>MAX(Hit!E6,Stand!E6,Double!E6)</f>
        <v>7.0804635983033826E-2</v>
      </c>
      <c r="F6" s="5">
        <f>MAX(Hit!F6,Stand!F6,Double!F6)</f>
        <v>0.11496015009622332</v>
      </c>
      <c r="G6" s="5">
        <f>MAX(Hit!G6,Stand!G6,Double!G6)</f>
        <v>8.2207439363742862E-2</v>
      </c>
      <c r="H6" s="5">
        <f>MAX(Hit!H6,Stand!H6,Double!H6)</f>
        <v>-5.9898275658656304E-2</v>
      </c>
      <c r="I6" s="5">
        <f>MAX(Hit!I6,Stand!I6,Double!I6)</f>
        <v>-0.21018633199821762</v>
      </c>
      <c r="J6" s="5">
        <f>MAX(Hit!J6,Stand!J6,Double!J6)</f>
        <v>-0.24937508055334259</v>
      </c>
      <c r="K6" s="5">
        <f>MAX(Hit!K6,Stand!K6,Double!K6)</f>
        <v>-0.1970288105741636</v>
      </c>
      <c r="M6" s="5">
        <v>8</v>
      </c>
      <c r="N6" s="2" t="str">
        <f>IF(B6=Stand!B6,"S",IF(B6=Double!B6,"D","H"))</f>
        <v>H</v>
      </c>
      <c r="O6" s="2" t="str">
        <f>IF(C6=Stand!C6,"S",IF(C6=Double!C6,"D","H"))</f>
        <v>H</v>
      </c>
      <c r="P6" s="2" t="str">
        <f>IF(D6=Stand!D6,"S",IF(D6=Double!D6,"D","H"))</f>
        <v>H</v>
      </c>
      <c r="Q6" s="2" t="str">
        <f>IF(E6=Stand!E6,"S",IF(E6=Double!E6,"D","H"))</f>
        <v>H</v>
      </c>
      <c r="R6" s="2" t="str">
        <f>IF(F6=Stand!F6,"S",IF(F6=Double!F6,"D","H"))</f>
        <v>H</v>
      </c>
      <c r="S6" s="2" t="str">
        <f>IF(G6=Stand!G6,"S",IF(G6=Double!G6,"D","H"))</f>
        <v>H</v>
      </c>
      <c r="T6" s="2" t="str">
        <f>IF(H6=Stand!H6,"S",IF(H6=Double!H6,"D","H"))</f>
        <v>H</v>
      </c>
      <c r="U6" s="2" t="str">
        <f>IF(I6=Stand!I6,"S",IF(I6=Double!I6,"D","H"))</f>
        <v>H</v>
      </c>
      <c r="V6" s="2" t="str">
        <f>IF(J6=Stand!J6,"S",IF(J6=Double!J6,"D","H"))</f>
        <v>H</v>
      </c>
      <c r="W6" s="2" t="str">
        <f>IF(K6=Stand!K6,"S",IF(K6=Double!K6,"D","H"))</f>
        <v>H</v>
      </c>
    </row>
    <row r="7" spans="1:23" ht="15.75" customHeight="1" x14ac:dyDescent="0.25">
      <c r="A7" s="5">
        <v>9</v>
      </c>
      <c r="B7" s="5">
        <f>MAX(Hit!B7,Stand!B7,Double!B7)</f>
        <v>7.4446037576340524E-2</v>
      </c>
      <c r="C7" s="5">
        <f>MAX(Hit!C7,Stand!C7,Double!C7)</f>
        <v>0.12081635332999649</v>
      </c>
      <c r="D7" s="5">
        <f>MAX(Hit!D7,Stand!D7,Double!D7)</f>
        <v>0.18194893405242166</v>
      </c>
      <c r="E7" s="5">
        <f>MAX(Hit!E7,Stand!E7,Double!E7)</f>
        <v>0.24305722487303633</v>
      </c>
      <c r="F7" s="5">
        <f>MAX(Hit!F7,Stand!F7,Double!F7)</f>
        <v>0.31705474570166703</v>
      </c>
      <c r="G7" s="5">
        <f>MAX(Hit!G7,Stand!G7,Double!G7)</f>
        <v>0.17186785993695267</v>
      </c>
      <c r="H7" s="5">
        <f>MAX(Hit!H7,Stand!H7,Double!H7)</f>
        <v>9.8376217435392543E-2</v>
      </c>
      <c r="I7" s="5">
        <f>MAX(Hit!I7,Stand!I7,Double!I7)</f>
        <v>-5.2178053462651711E-2</v>
      </c>
      <c r="J7" s="5">
        <f>MAX(Hit!J7,Stand!J7,Double!J7)</f>
        <v>-0.15295298487455075</v>
      </c>
      <c r="K7" s="5">
        <f>MAX(Hit!K7,Stand!K7,Double!K7)</f>
        <v>-6.5680778778066204E-2</v>
      </c>
      <c r="M7" s="5">
        <v>9</v>
      </c>
      <c r="N7" s="2" t="str">
        <f>IF(B7=Stand!B7,"S",IF(B7=Double!B7,"D","H"))</f>
        <v>H</v>
      </c>
      <c r="O7" s="2" t="str">
        <f>IF(C7=Stand!C7,"S",IF(C7=Double!C7,"D","H"))</f>
        <v>D</v>
      </c>
      <c r="P7" s="2" t="str">
        <f>IF(D7=Stand!D7,"S",IF(D7=Double!D7,"D","H"))</f>
        <v>D</v>
      </c>
      <c r="Q7" s="2" t="str">
        <f>IF(E7=Stand!E7,"S",IF(E7=Double!E7,"D","H"))</f>
        <v>D</v>
      </c>
      <c r="R7" s="2" t="str">
        <f>IF(F7=Stand!F7,"S",IF(F7=Double!F7,"D","H"))</f>
        <v>D</v>
      </c>
      <c r="S7" s="2" t="str">
        <f>IF(G7=Stand!G7,"S",IF(G7=Double!G7,"D","H"))</f>
        <v>H</v>
      </c>
      <c r="T7" s="2" t="str">
        <f>IF(H7=Stand!H7,"S",IF(H7=Double!H7,"D","H"))</f>
        <v>H</v>
      </c>
      <c r="U7" s="2" t="str">
        <f>IF(I7=Stand!I7,"S",IF(I7=Double!I7,"D","H"))</f>
        <v>H</v>
      </c>
      <c r="V7" s="2" t="str">
        <f>IF(J7=Stand!J7,"S",IF(J7=Double!J7,"D","H"))</f>
        <v>H</v>
      </c>
      <c r="W7" s="2" t="str">
        <f>IF(K7=Stand!K7,"S",IF(K7=Double!K7,"D","H"))</f>
        <v>H</v>
      </c>
    </row>
    <row r="8" spans="1:23" ht="15.75" customHeight="1" x14ac:dyDescent="0.25">
      <c r="A8" s="5">
        <v>10</v>
      </c>
      <c r="B8" s="5">
        <f>MAX(Hit!B8,Stand!B8,Double!B8)</f>
        <v>0.3589394124422991</v>
      </c>
      <c r="C8" s="5">
        <f>MAX(Hit!C8,Stand!C8,Double!C8)</f>
        <v>0.40932067017593915</v>
      </c>
      <c r="D8" s="5">
        <f>MAX(Hit!D8,Stand!D8,Double!D8)</f>
        <v>0.460940243794354</v>
      </c>
      <c r="E8" s="5">
        <f>MAX(Hit!E8,Stand!E8,Double!E8)</f>
        <v>0.51251710900326775</v>
      </c>
      <c r="F8" s="5">
        <f>MAX(Hit!F8,Stand!F8,Double!F8)</f>
        <v>0.57559016859776868</v>
      </c>
      <c r="G8" s="5">
        <f>MAX(Hit!G8,Stand!G8,Double!G8)</f>
        <v>0.39241245528243773</v>
      </c>
      <c r="H8" s="5">
        <f>MAX(Hit!H8,Stand!H8,Double!H8)</f>
        <v>0.28663571688628381</v>
      </c>
      <c r="I8" s="5">
        <f>MAX(Hit!I8,Stand!I8,Double!I8)</f>
        <v>0.14432836838077112</v>
      </c>
      <c r="J8" s="5">
        <f>MAX(Hit!J8,Stand!J8,Double!J8)</f>
        <v>2.5308523040868145E-2</v>
      </c>
      <c r="K8" s="5">
        <f>MAX(Hit!K8,Stand!K8,Double!K8)</f>
        <v>8.1449707945275923E-2</v>
      </c>
      <c r="M8" s="5">
        <v>10</v>
      </c>
      <c r="N8" s="2" t="str">
        <f>IF(B8=Stand!B8,"S",IF(B8=Double!B8,"D","H"))</f>
        <v>D</v>
      </c>
      <c r="O8" s="2" t="str">
        <f>IF(C8=Stand!C8,"S",IF(C8=Double!C8,"D","H"))</f>
        <v>D</v>
      </c>
      <c r="P8" s="2" t="str">
        <f>IF(D8=Stand!D8,"S",IF(D8=Double!D8,"D","H"))</f>
        <v>D</v>
      </c>
      <c r="Q8" s="2" t="str">
        <f>IF(E8=Stand!E8,"S",IF(E8=Double!E8,"D","H"))</f>
        <v>D</v>
      </c>
      <c r="R8" s="2" t="str">
        <f>IF(F8=Stand!F8,"S",IF(F8=Double!F8,"D","H"))</f>
        <v>D</v>
      </c>
      <c r="S8" s="2" t="str">
        <f>IF(G8=Stand!G8,"S",IF(G8=Double!G8,"D","H"))</f>
        <v>D</v>
      </c>
      <c r="T8" s="2" t="str">
        <f>IF(H8=Stand!H8,"S",IF(H8=Double!H8,"D","H"))</f>
        <v>D</v>
      </c>
      <c r="U8" s="2" t="str">
        <f>IF(I8=Stand!I8,"S",IF(I8=Double!I8,"D","H"))</f>
        <v>D</v>
      </c>
      <c r="V8" s="2" t="str">
        <f>IF(J8=Stand!J8,"S",IF(J8=Double!J8,"D","H"))</f>
        <v>H</v>
      </c>
      <c r="W8" s="2" t="str">
        <f>IF(K8=Stand!K8,"S",IF(K8=Double!K8,"D","H"))</f>
        <v>H</v>
      </c>
    </row>
    <row r="9" spans="1:23" ht="15.75" customHeight="1" x14ac:dyDescent="0.25">
      <c r="A9" s="5">
        <v>11</v>
      </c>
      <c r="B9" s="5">
        <f>MAX(Hit!B9,Stand!B9,Double!B9)</f>
        <v>0.47064092333946889</v>
      </c>
      <c r="C9" s="5">
        <f>MAX(Hit!C9,Stand!C9,Double!C9)</f>
        <v>0.51779525312221664</v>
      </c>
      <c r="D9" s="5">
        <f>MAX(Hit!D9,Stand!D9,Double!D9)</f>
        <v>0.56604055041797607</v>
      </c>
      <c r="E9" s="5">
        <f>MAX(Hit!E9,Stand!E9,Double!E9)</f>
        <v>0.61469901790902803</v>
      </c>
      <c r="F9" s="5">
        <f>MAX(Hit!F9,Stand!F9,Double!F9)</f>
        <v>0.66738009490756967</v>
      </c>
      <c r="G9" s="5">
        <f>MAX(Hit!G9,Stand!G9,Double!G9)</f>
        <v>0.46288894886429094</v>
      </c>
      <c r="H9" s="5">
        <f>MAX(Hit!H9,Stand!H9,Double!H9)</f>
        <v>0.35069259087031501</v>
      </c>
      <c r="I9" s="5">
        <f>MAX(Hit!I9,Stand!I9,Double!I9)</f>
        <v>0.22778342315245487</v>
      </c>
      <c r="J9" s="5">
        <f>MAX(Hit!J9,Stand!J9,Double!J9)</f>
        <v>0.1796887274111463</v>
      </c>
      <c r="K9" s="5">
        <f>MAX(Hit!K9,Stand!K9,Double!K9)</f>
        <v>0.14300128216153019</v>
      </c>
      <c r="M9" s="5">
        <v>11</v>
      </c>
      <c r="N9" s="2" t="str">
        <f>IF(B9=Stand!B9,"S",IF(B9=Double!B9,"D","H"))</f>
        <v>D</v>
      </c>
      <c r="O9" s="2" t="str">
        <f>IF(C9=Stand!C9,"S",IF(C9=Double!C9,"D","H"))</f>
        <v>D</v>
      </c>
      <c r="P9" s="2" t="str">
        <f>IF(D9=Stand!D9,"S",IF(D9=Double!D9,"D","H"))</f>
        <v>D</v>
      </c>
      <c r="Q9" s="2" t="str">
        <f>IF(E9=Stand!E9,"S",IF(E9=Double!E9,"D","H"))</f>
        <v>D</v>
      </c>
      <c r="R9" s="2" t="str">
        <f>IF(F9=Stand!F9,"S",IF(F9=Double!F9,"D","H"))</f>
        <v>D</v>
      </c>
      <c r="S9" s="2" t="str">
        <f>IF(G9=Stand!G9,"S",IF(G9=Double!G9,"D","H"))</f>
        <v>D</v>
      </c>
      <c r="T9" s="2" t="str">
        <f>IF(H9=Stand!H9,"S",IF(H9=Double!H9,"D","H"))</f>
        <v>D</v>
      </c>
      <c r="U9" s="2" t="str">
        <f>IF(I9=Stand!I9,"S",IF(I9=Double!I9,"D","H"))</f>
        <v>D</v>
      </c>
      <c r="V9" s="2" t="str">
        <f>IF(J9=Stand!J9,"S",IF(J9=Double!J9,"D","H"))</f>
        <v>D</v>
      </c>
      <c r="W9" s="2" t="str">
        <f>IF(K9=Stand!K9,"S",IF(K9=Double!K9,"D","H"))</f>
        <v>H</v>
      </c>
    </row>
    <row r="10" spans="1:23" ht="15.75" customHeight="1" x14ac:dyDescent="0.25">
      <c r="A10" s="5">
        <v>12</v>
      </c>
      <c r="B10" s="5">
        <f>MAX(Hit!B10,Stand!B10,Double!B10)</f>
        <v>-0.25338998596663803</v>
      </c>
      <c r="C10" s="5">
        <f>MAX(Hit!C10,Stand!C10,Double!C10)</f>
        <v>-0.2336908997980866</v>
      </c>
      <c r="D10" s="5">
        <f>MAX(Hit!D10,Stand!D10,Double!D10)</f>
        <v>-0.21106310899491437</v>
      </c>
      <c r="E10" s="5">
        <f>MAX(Hit!E10,Stand!E10,Double!E10)</f>
        <v>-0.16719266083547524</v>
      </c>
      <c r="F10" s="5">
        <f>MAX(Hit!F10,Stand!F10,Double!F10)</f>
        <v>-0.15369901583000439</v>
      </c>
      <c r="G10" s="5">
        <f>MAX(Hit!G10,Stand!G10,Double!G10)</f>
        <v>-0.21284771451731427</v>
      </c>
      <c r="H10" s="5">
        <f>MAX(Hit!H10,Stand!H10,Double!H10)</f>
        <v>-0.27157480502428616</v>
      </c>
      <c r="I10" s="5">
        <f>MAX(Hit!I10,Stand!I10,Double!I10)</f>
        <v>-0.3400132806089356</v>
      </c>
      <c r="J10" s="5">
        <f>MAX(Hit!J10,Stand!J10,Double!J10)</f>
        <v>-0.38104299284808757</v>
      </c>
      <c r="K10" s="5">
        <f>MAX(Hit!K10,Stand!K10,Double!K10)</f>
        <v>-0.35054034044008009</v>
      </c>
      <c r="M10" s="5">
        <v>12</v>
      </c>
      <c r="N10" s="2" t="str">
        <f>IF(B10=Stand!B10,"S",IF(B10=Double!B10,"D","H"))</f>
        <v>H</v>
      </c>
      <c r="O10" s="2" t="str">
        <f>IF(C10=Stand!C10,"S",IF(C10=Double!C10,"D","H"))</f>
        <v>H</v>
      </c>
      <c r="P10" s="2" t="str">
        <f>IF(D10=Stand!D10,"S",IF(D10=Double!D10,"D","H"))</f>
        <v>S</v>
      </c>
      <c r="Q10" s="2" t="str">
        <f>IF(E10=Stand!E10,"S",IF(E10=Double!E10,"D","H"))</f>
        <v>S</v>
      </c>
      <c r="R10" s="2" t="str">
        <f>IF(F10=Stand!F10,"S",IF(F10=Double!F10,"D","H"))</f>
        <v>S</v>
      </c>
      <c r="S10" s="2" t="str">
        <f>IF(G10=Stand!G10,"S",IF(G10=Double!G10,"D","H"))</f>
        <v>H</v>
      </c>
      <c r="T10" s="2" t="str">
        <f>IF(H10=Stand!H10,"S",IF(H10=Double!H10,"D","H"))</f>
        <v>H</v>
      </c>
      <c r="U10" s="2" t="str">
        <f>IF(I10=Stand!I10,"S",IF(I10=Double!I10,"D","H"))</f>
        <v>H</v>
      </c>
      <c r="V10" s="2" t="str">
        <f>IF(J10=Stand!J10,"S",IF(J10=Double!J10,"D","H"))</f>
        <v>H</v>
      </c>
      <c r="W10" s="2" t="str">
        <f>IF(K10=Stand!K10,"S",IF(K10=Double!K10,"D","H"))</f>
        <v>H</v>
      </c>
    </row>
    <row r="11" spans="1:23" ht="15.75" customHeight="1" x14ac:dyDescent="0.25">
      <c r="A11" s="5">
        <v>13</v>
      </c>
      <c r="B11" s="5">
        <f>MAX(Hit!B11,Stand!B11,Double!B11)</f>
        <v>-0.29278372720927726</v>
      </c>
      <c r="C11" s="5">
        <f>MAX(Hit!C11,Stand!C11,Double!C11)</f>
        <v>-0.2522502292357135</v>
      </c>
      <c r="D11" s="5">
        <f>MAX(Hit!D11,Stand!D11,Double!D11)</f>
        <v>-0.21106310899491437</v>
      </c>
      <c r="E11" s="5">
        <f>MAX(Hit!E11,Stand!E11,Double!E11)</f>
        <v>-0.16719266083547524</v>
      </c>
      <c r="F11" s="5">
        <f>MAX(Hit!F11,Stand!F11,Double!F11)</f>
        <v>-0.15369901583000439</v>
      </c>
      <c r="G11" s="5">
        <f>MAX(Hit!G11,Stand!G11,Double!G11)</f>
        <v>-0.26907287776607752</v>
      </c>
      <c r="H11" s="5">
        <f>MAX(Hit!H11,Stand!H11,Double!H11)</f>
        <v>-0.32360517609397998</v>
      </c>
      <c r="I11" s="5">
        <f>MAX(Hit!I11,Stand!I11,Double!I11)</f>
        <v>-0.38715518913686875</v>
      </c>
      <c r="J11" s="5">
        <f>MAX(Hit!J11,Stand!J11,Double!J11)</f>
        <v>-0.42525420764465277</v>
      </c>
      <c r="K11" s="5">
        <f>MAX(Hit!K11,Stand!K11,Double!K11)</f>
        <v>-0.3969303161229315</v>
      </c>
      <c r="M11" s="5">
        <v>13</v>
      </c>
      <c r="N11" s="2" t="str">
        <f>IF(B11=Stand!B11,"S",IF(B11=Double!B11,"D","H"))</f>
        <v>S</v>
      </c>
      <c r="O11" s="2" t="str">
        <f>IF(C11=Stand!C11,"S",IF(C11=Double!C11,"D","H"))</f>
        <v>S</v>
      </c>
      <c r="P11" s="2" t="str">
        <f>IF(D11=Stand!D11,"S",IF(D11=Double!D11,"D","H"))</f>
        <v>S</v>
      </c>
      <c r="Q11" s="2" t="str">
        <f>IF(E11=Stand!E11,"S",IF(E11=Double!E11,"D","H"))</f>
        <v>S</v>
      </c>
      <c r="R11" s="2" t="str">
        <f>IF(F11=Stand!F11,"S",IF(F11=Double!F11,"D","H"))</f>
        <v>S</v>
      </c>
      <c r="S11" s="2" t="str">
        <f>IF(G11=Stand!G11,"S",IF(G11=Double!G11,"D","H"))</f>
        <v>H</v>
      </c>
      <c r="T11" s="2" t="str">
        <f>IF(H11=Stand!H11,"S",IF(H11=Double!H11,"D","H"))</f>
        <v>H</v>
      </c>
      <c r="U11" s="2" t="str">
        <f>IF(I11=Stand!I11,"S",IF(I11=Double!I11,"D","H"))</f>
        <v>H</v>
      </c>
      <c r="V11" s="2" t="str">
        <f>IF(J11=Stand!J11,"S",IF(J11=Double!J11,"D","H"))</f>
        <v>H</v>
      </c>
      <c r="W11" s="2" t="str">
        <f>IF(K11=Stand!K11,"S",IF(K11=Double!K11,"D","H"))</f>
        <v>H</v>
      </c>
    </row>
    <row r="12" spans="1:23" ht="15.75" customHeight="1" x14ac:dyDescent="0.25">
      <c r="A12" s="5">
        <v>14</v>
      </c>
      <c r="B12" s="5">
        <f>MAX(Hit!B12,Stand!B12,Double!B12)</f>
        <v>-0.29278372720927726</v>
      </c>
      <c r="C12" s="5">
        <f>MAX(Hit!C12,Stand!C12,Double!C12)</f>
        <v>-0.2522502292357135</v>
      </c>
      <c r="D12" s="5">
        <f>MAX(Hit!D12,Stand!D12,Double!D12)</f>
        <v>-0.21106310899491437</v>
      </c>
      <c r="E12" s="5">
        <f>MAX(Hit!E12,Stand!E12,Double!E12)</f>
        <v>-0.16719266083547524</v>
      </c>
      <c r="F12" s="5">
        <f>MAX(Hit!F12,Stand!F12,Double!F12)</f>
        <v>-0.15369901583000439</v>
      </c>
      <c r="G12" s="5">
        <f>MAX(Hit!G12,Stand!G12,Double!G12)</f>
        <v>-0.3212819579256434</v>
      </c>
      <c r="H12" s="5">
        <f>MAX(Hit!H12,Stand!H12,Double!H12)</f>
        <v>-0.37191909208726709</v>
      </c>
      <c r="I12" s="5">
        <f>MAX(Hit!I12,Stand!I12,Double!I12)</f>
        <v>-0.43092981848423528</v>
      </c>
      <c r="J12" s="5">
        <f>MAX(Hit!J12,Stand!J12,Double!J12)</f>
        <v>-0.46630747852717758</v>
      </c>
      <c r="K12" s="5">
        <f>MAX(Hit!K12,Stand!K12,Double!K12)</f>
        <v>-0.44000672211415065</v>
      </c>
      <c r="M12" s="5">
        <v>14</v>
      </c>
      <c r="N12" s="2" t="str">
        <f>IF(B12=Stand!B12,"S",IF(B12=Double!B12,"D","H"))</f>
        <v>S</v>
      </c>
      <c r="O12" s="2" t="str">
        <f>IF(C12=Stand!C12,"S",IF(C12=Double!C12,"D","H"))</f>
        <v>S</v>
      </c>
      <c r="P12" s="2" t="str">
        <f>IF(D12=Stand!D12,"S",IF(D12=Double!D12,"D","H"))</f>
        <v>S</v>
      </c>
      <c r="Q12" s="2" t="str">
        <f>IF(E12=Stand!E12,"S",IF(E12=Double!E12,"D","H"))</f>
        <v>S</v>
      </c>
      <c r="R12" s="2" t="str">
        <f>IF(F12=Stand!F12,"S",IF(F12=Double!F12,"D","H"))</f>
        <v>S</v>
      </c>
      <c r="S12" s="2" t="str">
        <f>IF(G12=Stand!G12,"S",IF(G12=Double!G12,"D","H"))</f>
        <v>H</v>
      </c>
      <c r="T12" s="2" t="str">
        <f>IF(H12=Stand!H12,"S",IF(H12=Double!H12,"D","H"))</f>
        <v>H</v>
      </c>
      <c r="U12" s="2" t="str">
        <f>IF(I12=Stand!I12,"S",IF(I12=Double!I12,"D","H"))</f>
        <v>H</v>
      </c>
      <c r="V12" s="2" t="str">
        <f>IF(J12=Stand!J12,"S",IF(J12=Double!J12,"D","H"))</f>
        <v>H</v>
      </c>
      <c r="W12" s="2" t="str">
        <f>IF(K12=Stand!K12,"S",IF(K12=Double!K12,"D","H"))</f>
        <v>H</v>
      </c>
    </row>
    <row r="13" spans="1:23" ht="15.75" customHeight="1" x14ac:dyDescent="0.25">
      <c r="A13" s="5">
        <v>15</v>
      </c>
      <c r="B13" s="5">
        <f>MAX(Hit!B13,Stand!B13,Double!B13)</f>
        <v>-0.29278372720927726</v>
      </c>
      <c r="C13" s="5">
        <f>MAX(Hit!C13,Stand!C13,Double!C13)</f>
        <v>-0.2522502292357135</v>
      </c>
      <c r="D13" s="5">
        <f>MAX(Hit!D13,Stand!D13,Double!D13)</f>
        <v>-0.21106310899491437</v>
      </c>
      <c r="E13" s="5">
        <f>MAX(Hit!E13,Stand!E13,Double!E13)</f>
        <v>-0.16719266083547524</v>
      </c>
      <c r="F13" s="5">
        <f>MAX(Hit!F13,Stand!F13,Double!F13)</f>
        <v>-0.15369901583000439</v>
      </c>
      <c r="G13" s="5">
        <f>MAX(Hit!G13,Stand!G13,Double!G13)</f>
        <v>-0.36976181807381175</v>
      </c>
      <c r="H13" s="5">
        <f>MAX(Hit!H13,Stand!H13,Double!H13)</f>
        <v>-0.41678201408103371</v>
      </c>
      <c r="I13" s="5">
        <f>MAX(Hit!I13,Stand!I13,Double!I13)</f>
        <v>-0.47157768859250421</v>
      </c>
      <c r="J13" s="5">
        <f>MAX(Hit!J13,Stand!J13,Double!J13)</f>
        <v>-0.5044283729180935</v>
      </c>
      <c r="K13" s="5">
        <f>MAX(Hit!K13,Stand!K13,Double!K13)</f>
        <v>-0.4800062419631399</v>
      </c>
      <c r="M13" s="5">
        <v>15</v>
      </c>
      <c r="N13" s="2" t="str">
        <f>IF(B13=Stand!B13,"S",IF(B13=Double!B13,"D","H"))</f>
        <v>S</v>
      </c>
      <c r="O13" s="2" t="str">
        <f>IF(C13=Stand!C13,"S",IF(C13=Double!C13,"D","H"))</f>
        <v>S</v>
      </c>
      <c r="P13" s="2" t="str">
        <f>IF(D13=Stand!D13,"S",IF(D13=Double!D13,"D","H"))</f>
        <v>S</v>
      </c>
      <c r="Q13" s="2" t="str">
        <f>IF(E13=Stand!E13,"S",IF(E13=Double!E13,"D","H"))</f>
        <v>S</v>
      </c>
      <c r="R13" s="2" t="str">
        <f>IF(F13=Stand!F13,"S",IF(F13=Double!F13,"D","H"))</f>
        <v>S</v>
      </c>
      <c r="S13" s="2" t="str">
        <f>IF(G13=Stand!G13,"S",IF(G13=Double!G13,"D","H"))</f>
        <v>H</v>
      </c>
      <c r="T13" s="2" t="str">
        <f>IF(H13=Stand!H13,"S",IF(H13=Double!H13,"D","H"))</f>
        <v>H</v>
      </c>
      <c r="U13" s="2" t="str">
        <f>IF(I13=Stand!I13,"S",IF(I13=Double!I13,"D","H"))</f>
        <v>H</v>
      </c>
      <c r="V13" s="2" t="str">
        <f>IF(J13=Stand!J13,"S",IF(J13=Double!J13,"D","H"))</f>
        <v>H</v>
      </c>
      <c r="W13" s="2" t="str">
        <f>IF(K13=Stand!K13,"S",IF(K13=Double!K13,"D","H"))</f>
        <v>H</v>
      </c>
    </row>
    <row r="14" spans="1:23" ht="15.75" customHeight="1" x14ac:dyDescent="0.25">
      <c r="A14" s="5">
        <v>16</v>
      </c>
      <c r="B14" s="5">
        <f>MAX(Hit!B14,Stand!B14,Double!B14)</f>
        <v>-0.29278372720927726</v>
      </c>
      <c r="C14" s="5">
        <f>MAX(Hit!C14,Stand!C14,Double!C14)</f>
        <v>-0.2522502292357135</v>
      </c>
      <c r="D14" s="5">
        <f>MAX(Hit!D14,Stand!D14,Double!D14)</f>
        <v>-0.21106310899491437</v>
      </c>
      <c r="E14" s="5">
        <f>MAX(Hit!E14,Stand!E14,Double!E14)</f>
        <v>-0.16719266083547524</v>
      </c>
      <c r="F14" s="5">
        <f>MAX(Hit!F14,Stand!F14,Double!F14)</f>
        <v>-0.15369901583000439</v>
      </c>
      <c r="G14" s="5">
        <f>MAX(Hit!G14,Stand!G14,Double!G14)</f>
        <v>-0.41477883106853947</v>
      </c>
      <c r="H14" s="5">
        <f>MAX(Hit!H14,Stand!H14,Double!H14)</f>
        <v>-0.45844044164667419</v>
      </c>
      <c r="I14" s="5">
        <f>MAX(Hit!I14,Stand!I14,Double!I14)</f>
        <v>-0.50932213940732529</v>
      </c>
      <c r="J14" s="5">
        <f>MAX(Hit!J14,Stand!J14,Double!J14)</f>
        <v>-0.53982634628108683</v>
      </c>
      <c r="K14" s="5">
        <f>MAX(Hit!K14,Stand!K14,Double!K14)</f>
        <v>-0.51714865325148707</v>
      </c>
      <c r="M14" s="5">
        <v>16</v>
      </c>
      <c r="N14" s="2" t="str">
        <f>IF(B14=Stand!B14,"S",IF(B14=Double!B14,"D","H"))</f>
        <v>S</v>
      </c>
      <c r="O14" s="2" t="str">
        <f>IF(C14=Stand!C14,"S",IF(C14=Double!C14,"D","H"))</f>
        <v>S</v>
      </c>
      <c r="P14" s="2" t="str">
        <f>IF(D14=Stand!D14,"S",IF(D14=Double!D14,"D","H"))</f>
        <v>S</v>
      </c>
      <c r="Q14" s="2" t="str">
        <f>IF(E14=Stand!E14,"S",IF(E14=Double!E14,"D","H"))</f>
        <v>S</v>
      </c>
      <c r="R14" s="2" t="str">
        <f>IF(F14=Stand!F14,"S",IF(F14=Double!F14,"D","H"))</f>
        <v>S</v>
      </c>
      <c r="S14" s="2" t="str">
        <f>IF(G14=Stand!G14,"S",IF(G14=Double!G14,"D","H"))</f>
        <v>H</v>
      </c>
      <c r="T14" s="2" t="str">
        <f>IF(H14=Stand!H14,"S",IF(H14=Double!H14,"D","H"))</f>
        <v>H</v>
      </c>
      <c r="U14" s="2" t="str">
        <f>IF(I14=Stand!I14,"S",IF(I14=Double!I14,"D","H"))</f>
        <v>H</v>
      </c>
      <c r="V14" s="2" t="str">
        <f>IF(J14=Stand!J14,"S",IF(J14=Double!J14,"D","H"))</f>
        <v>H</v>
      </c>
      <c r="W14" s="2" t="str">
        <f>IF(K14=Stand!K14,"S",IF(K14=Double!K14,"D","H"))</f>
        <v>H</v>
      </c>
    </row>
    <row r="15" spans="1:23" ht="15.75" customHeight="1" x14ac:dyDescent="0.25">
      <c r="A15" s="5">
        <v>17</v>
      </c>
      <c r="B15" s="5">
        <f>MAX(Hit!B15,Stand!B15,Double!B15)</f>
        <v>-0.15297458768154204</v>
      </c>
      <c r="C15" s="5">
        <f>MAX(Hit!C15,Stand!C15,Double!C15)</f>
        <v>-0.11721624142457365</v>
      </c>
      <c r="D15" s="5">
        <f>MAX(Hit!D15,Stand!D15,Double!D15)</f>
        <v>-8.0573373145316152E-2</v>
      </c>
      <c r="E15" s="5">
        <f>MAX(Hit!E15,Stand!E15,Double!E15)</f>
        <v>-4.4941375564924446E-2</v>
      </c>
      <c r="F15" s="5">
        <f>MAX(Hit!F15,Stand!F15,Double!F15)</f>
        <v>1.1739160673341964E-2</v>
      </c>
      <c r="G15" s="5">
        <f>MAX(Hit!G15,Stand!G15,Double!G15)</f>
        <v>-0.10680898948269468</v>
      </c>
      <c r="H15" s="5">
        <f>MAX(Hit!H15,Stand!H15,Double!H15)</f>
        <v>-0.38195097104844711</v>
      </c>
      <c r="I15" s="5">
        <f>MAX(Hit!I15,Stand!I15,Double!I15)</f>
        <v>-0.42315423964521748</v>
      </c>
      <c r="J15" s="5">
        <f>MAX(Hit!J15,Stand!J15,Double!J15)</f>
        <v>-0.41972063392881986</v>
      </c>
      <c r="K15" s="5">
        <f>MAX(Hit!K15,Stand!K15,Double!K15)</f>
        <v>-0.47803347499473703</v>
      </c>
      <c r="M15" s="5">
        <v>17</v>
      </c>
      <c r="N15" s="2" t="str">
        <f>IF(B15=Stand!B15,"S",IF(B15=Double!B15,"D","H"))</f>
        <v>S</v>
      </c>
      <c r="O15" s="2" t="str">
        <f>IF(C15=Stand!C15,"S",IF(C15=Double!C15,"D","H"))</f>
        <v>S</v>
      </c>
      <c r="P15" s="2" t="str">
        <f>IF(D15=Stand!D15,"S",IF(D15=Double!D15,"D","H"))</f>
        <v>S</v>
      </c>
      <c r="Q15" s="2" t="str">
        <f>IF(E15=Stand!E15,"S",IF(E15=Double!E15,"D","H"))</f>
        <v>S</v>
      </c>
      <c r="R15" s="2" t="str">
        <f>IF(F15=Stand!F15,"S",IF(F15=Double!F15,"D","H"))</f>
        <v>S</v>
      </c>
      <c r="S15" s="2" t="str">
        <f>IF(G15=Stand!G15,"S",IF(G15=Double!G15,"D","H"))</f>
        <v>S</v>
      </c>
      <c r="T15" s="2" t="str">
        <f>IF(H15=Stand!H15,"S",IF(H15=Double!H15,"D","H"))</f>
        <v>S</v>
      </c>
      <c r="U15" s="2" t="str">
        <f>IF(I15=Stand!I15,"S",IF(I15=Double!I15,"D","H"))</f>
        <v>S</v>
      </c>
      <c r="V15" s="2" t="str">
        <f>IF(J15=Stand!J15,"S",IF(J15=Double!J15,"D","H"))</f>
        <v>S</v>
      </c>
      <c r="W15" s="2" t="str">
        <f>IF(K15=Stand!K15,"S",IF(K15=Double!K15,"D","H"))</f>
        <v>S</v>
      </c>
    </row>
    <row r="16" spans="1:23" ht="15.75" customHeight="1" x14ac:dyDescent="0.25">
      <c r="A16" s="5">
        <v>18</v>
      </c>
      <c r="B16" s="5">
        <f>MAX(Hit!B16,Stand!B16,Double!B16)</f>
        <v>0.12174190222088771</v>
      </c>
      <c r="C16" s="5">
        <f>MAX(Hit!C16,Stand!C16,Double!C16)</f>
        <v>0.14830007284131114</v>
      </c>
      <c r="D16" s="5">
        <f>MAX(Hit!D16,Stand!D16,Double!D16)</f>
        <v>0.17585443719748528</v>
      </c>
      <c r="E16" s="5">
        <f>MAX(Hit!E16,Stand!E16,Double!E16)</f>
        <v>0.19956119497617719</v>
      </c>
      <c r="F16" s="5">
        <f>MAX(Hit!F16,Stand!F16,Double!F16)</f>
        <v>0.28344391604689867</v>
      </c>
      <c r="G16" s="5">
        <f>MAX(Hit!G16,Stand!G16,Double!G16)</f>
        <v>0.3995541673365518</v>
      </c>
      <c r="H16" s="5">
        <f>MAX(Hit!H16,Stand!H16,Double!H16)</f>
        <v>0.10595134861912359</v>
      </c>
      <c r="I16" s="5">
        <f>MAX(Hit!I16,Stand!I16,Double!I16)</f>
        <v>-0.18316335667343342</v>
      </c>
      <c r="J16" s="5">
        <f>MAX(Hit!J16,Stand!J16,Double!J16)</f>
        <v>-0.17830123379648949</v>
      </c>
      <c r="K16" s="5">
        <f>MAX(Hit!K16,Stand!K16,Double!K16)</f>
        <v>-0.10019887561319057</v>
      </c>
      <c r="M16" s="5">
        <v>18</v>
      </c>
      <c r="N16" s="2" t="str">
        <f>IF(B16=Stand!B16,"S",IF(B16=Double!B16,"D","H"))</f>
        <v>S</v>
      </c>
      <c r="O16" s="2" t="str">
        <f>IF(C16=Stand!C16,"S",IF(C16=Double!C16,"D","H"))</f>
        <v>S</v>
      </c>
      <c r="P16" s="2" t="str">
        <f>IF(D16=Stand!D16,"S",IF(D16=Double!D16,"D","H"))</f>
        <v>S</v>
      </c>
      <c r="Q16" s="2" t="str">
        <f>IF(E16=Stand!E16,"S",IF(E16=Double!E16,"D","H"))</f>
        <v>S</v>
      </c>
      <c r="R16" s="2" t="str">
        <f>IF(F16=Stand!F16,"S",IF(F16=Double!F16,"D","H"))</f>
        <v>S</v>
      </c>
      <c r="S16" s="2" t="str">
        <f>IF(G16=Stand!G16,"S",IF(G16=Double!G16,"D","H"))</f>
        <v>S</v>
      </c>
      <c r="T16" s="2" t="str">
        <f>IF(H16=Stand!H16,"S",IF(H16=Double!H16,"D","H"))</f>
        <v>S</v>
      </c>
      <c r="U16" s="2" t="str">
        <f>IF(I16=Stand!I16,"S",IF(I16=Double!I16,"D","H"))</f>
        <v>S</v>
      </c>
      <c r="V16" s="2" t="str">
        <f>IF(J16=Stand!J16,"S",IF(J16=Double!J16,"D","H"))</f>
        <v>S</v>
      </c>
      <c r="W16" s="2" t="str">
        <f>IF(K16=Stand!K16,"S",IF(K16=Double!K16,"D","H"))</f>
        <v>S</v>
      </c>
    </row>
    <row r="17" spans="1:23" ht="15.75" customHeight="1" x14ac:dyDescent="0.25">
      <c r="A17" s="5">
        <v>19</v>
      </c>
      <c r="B17" s="5">
        <f>MAX(Hit!B17,Stand!B17,Double!B17)</f>
        <v>0.38630468602058993</v>
      </c>
      <c r="C17" s="5">
        <f>MAX(Hit!C17,Stand!C17,Double!C17)</f>
        <v>0.4043629365977599</v>
      </c>
      <c r="D17" s="5">
        <f>MAX(Hit!D17,Stand!D17,Double!D17)</f>
        <v>0.42317892482749653</v>
      </c>
      <c r="E17" s="5">
        <f>MAX(Hit!E17,Stand!E17,Double!E17)</f>
        <v>0.43951210416088371</v>
      </c>
      <c r="F17" s="5">
        <f>MAX(Hit!F17,Stand!F17,Double!F17)</f>
        <v>0.49597707378731926</v>
      </c>
      <c r="G17" s="5">
        <f>MAX(Hit!G17,Stand!G17,Double!G17)</f>
        <v>0.6159764957534315</v>
      </c>
      <c r="H17" s="5">
        <f>MAX(Hit!H17,Stand!H17,Double!H17)</f>
        <v>0.59385366828669439</v>
      </c>
      <c r="I17" s="5">
        <f>MAX(Hit!I17,Stand!I17,Double!I17)</f>
        <v>0.28759675706758148</v>
      </c>
      <c r="J17" s="5">
        <f>MAX(Hit!J17,Stand!J17,Double!J17)</f>
        <v>6.3118166335840831E-2</v>
      </c>
      <c r="K17" s="5">
        <f>MAX(Hit!K17,Stand!K17,Double!K17)</f>
        <v>0.27763572376835594</v>
      </c>
      <c r="M17" s="5">
        <v>19</v>
      </c>
      <c r="N17" s="2" t="str">
        <f>IF(B17=Stand!B17,"S",IF(B17=Double!B17,"D","H"))</f>
        <v>S</v>
      </c>
      <c r="O17" s="2" t="str">
        <f>IF(C17=Stand!C17,"S",IF(C17=Double!C17,"D","H"))</f>
        <v>S</v>
      </c>
      <c r="P17" s="2" t="str">
        <f>IF(D17=Stand!D17,"S",IF(D17=Double!D17,"D","H"))</f>
        <v>S</v>
      </c>
      <c r="Q17" s="2" t="str">
        <f>IF(E17=Stand!E17,"S",IF(E17=Double!E17,"D","H"))</f>
        <v>S</v>
      </c>
      <c r="R17" s="2" t="str">
        <f>IF(F17=Stand!F17,"S",IF(F17=Double!F17,"D","H"))</f>
        <v>S</v>
      </c>
      <c r="S17" s="2" t="str">
        <f>IF(G17=Stand!G17,"S",IF(G17=Double!G17,"D","H"))</f>
        <v>S</v>
      </c>
      <c r="T17" s="2" t="str">
        <f>IF(H17=Stand!H17,"S",IF(H17=Double!H17,"D","H"))</f>
        <v>S</v>
      </c>
      <c r="U17" s="2" t="str">
        <f>IF(I17=Stand!I17,"S",IF(I17=Double!I17,"D","H"))</f>
        <v>S</v>
      </c>
      <c r="V17" s="2" t="str">
        <f>IF(J17=Stand!J17,"S",IF(J17=Double!J17,"D","H"))</f>
        <v>S</v>
      </c>
      <c r="W17" s="2" t="str">
        <f>IF(K17=Stand!K17,"S",IF(K17=Double!K17,"D","H"))</f>
        <v>S</v>
      </c>
    </row>
    <row r="18" spans="1:23" ht="15.75" customHeight="1" x14ac:dyDescent="0.25">
      <c r="A18" s="5">
        <v>20</v>
      </c>
      <c r="B18" s="5">
        <f>MAX(Hit!B18,Stand!B18,Double!B18)</f>
        <v>0.63998657521683877</v>
      </c>
      <c r="C18" s="5">
        <f>MAX(Hit!C18,Stand!C18,Double!C18)</f>
        <v>0.65027209425148136</v>
      </c>
      <c r="D18" s="5">
        <f>MAX(Hit!D18,Stand!D18,Double!D18)</f>
        <v>0.66104996194807186</v>
      </c>
      <c r="E18" s="5">
        <f>MAX(Hit!E18,Stand!E18,Double!E18)</f>
        <v>0.67035969063279999</v>
      </c>
      <c r="F18" s="5">
        <f>MAX(Hit!F18,Stand!F18,Double!F18)</f>
        <v>0.70395857017134467</v>
      </c>
      <c r="G18" s="5">
        <f>MAX(Hit!G18,Stand!G18,Double!G18)</f>
        <v>0.77322722653717491</v>
      </c>
      <c r="H18" s="5">
        <f>MAX(Hit!H18,Stand!H18,Double!H18)</f>
        <v>0.79181515955189841</v>
      </c>
      <c r="I18" s="5">
        <f>MAX(Hit!I18,Stand!I18,Double!I18)</f>
        <v>0.75835687080859615</v>
      </c>
      <c r="J18" s="5">
        <f>MAX(Hit!J18,Stand!J18,Double!J18)</f>
        <v>0.55453756646817121</v>
      </c>
      <c r="K18" s="5">
        <f>MAX(Hit!K18,Stand!K18,Double!K18)</f>
        <v>0.65547032314990239</v>
      </c>
      <c r="M18" s="5">
        <v>20</v>
      </c>
      <c r="N18" s="2" t="str">
        <f>IF(B18=Stand!B18,"S",IF(B18=Double!B18,"D","H"))</f>
        <v>S</v>
      </c>
      <c r="O18" s="2" t="str">
        <f>IF(C18=Stand!C18,"S",IF(C18=Double!C18,"D","H"))</f>
        <v>S</v>
      </c>
      <c r="P18" s="2" t="str">
        <f>IF(D18=Stand!D18,"S",IF(D18=Double!D18,"D","H"))</f>
        <v>S</v>
      </c>
      <c r="Q18" s="2" t="str">
        <f>IF(E18=Stand!E18,"S",IF(E18=Double!E18,"D","H"))</f>
        <v>S</v>
      </c>
      <c r="R18" s="2" t="str">
        <f>IF(F18=Stand!F18,"S",IF(F18=Double!F18,"D","H"))</f>
        <v>S</v>
      </c>
      <c r="S18" s="2" t="str">
        <f>IF(G18=Stand!G18,"S",IF(G18=Double!G18,"D","H"))</f>
        <v>S</v>
      </c>
      <c r="T18" s="2" t="str">
        <f>IF(H18=Stand!H18,"S",IF(H18=Double!H18,"D","H"))</f>
        <v>S</v>
      </c>
      <c r="U18" s="2" t="str">
        <f>IF(I18=Stand!I18,"S",IF(I18=Double!I18,"D","H"))</f>
        <v>S</v>
      </c>
      <c r="V18" s="2" t="str">
        <f>IF(J18=Stand!J18,"S",IF(J18=Double!J18,"D","H"))</f>
        <v>S</v>
      </c>
      <c r="W18" s="2" t="str">
        <f>IF(K18=Stand!K18,"S",IF(K18=Double!K18,"D","H"))</f>
        <v>S</v>
      </c>
    </row>
    <row r="19" spans="1:23" ht="15.75" customHeight="1" x14ac:dyDescent="0.25">
      <c r="A19" s="5">
        <v>21</v>
      </c>
      <c r="B19" s="5">
        <f>MAX(Hit!B19,Stand!B19,Double!B19)</f>
        <v>0.88200651549403997</v>
      </c>
      <c r="C19" s="5">
        <f>MAX(Hit!C19,Stand!C19,Double!C19)</f>
        <v>0.88530035730174927</v>
      </c>
      <c r="D19" s="5">
        <f>MAX(Hit!D19,Stand!D19,Double!D19)</f>
        <v>0.88876729296591961</v>
      </c>
      <c r="E19" s="5">
        <f>MAX(Hit!E19,Stand!E19,Double!E19)</f>
        <v>0.89175382659528035</v>
      </c>
      <c r="F19" s="5">
        <f>MAX(Hit!F19,Stand!F19,Double!F19)</f>
        <v>0.90283674384258006</v>
      </c>
      <c r="G19" s="5">
        <f>MAX(Hit!G19,Stand!G19,Double!G19)</f>
        <v>0.92592629596452325</v>
      </c>
      <c r="H19" s="5">
        <f>MAX(Hit!H19,Stand!H19,Double!H19)</f>
        <v>0.93060505318396614</v>
      </c>
      <c r="I19" s="5">
        <f>MAX(Hit!I19,Stand!I19,Double!I19)</f>
        <v>0.93917615614724415</v>
      </c>
      <c r="J19" s="5">
        <f>MAX(Hit!J19,Stand!J19,Double!J19)</f>
        <v>0.96262363326716827</v>
      </c>
      <c r="K19" s="5">
        <f>MAX(Hit!K19,Stand!K19,Double!K19)</f>
        <v>0.92219381142033785</v>
      </c>
      <c r="M19" s="5">
        <v>21</v>
      </c>
      <c r="N19" s="2" t="str">
        <f>IF(B19=Stand!B19,"S",IF(B19=Double!B19,"D","H"))</f>
        <v>S</v>
      </c>
      <c r="O19" s="2" t="str">
        <f>IF(C19=Stand!C19,"S",IF(C19=Double!C19,"D","H"))</f>
        <v>S</v>
      </c>
      <c r="P19" s="2" t="str">
        <f>IF(D19=Stand!D19,"S",IF(D19=Double!D19,"D","H"))</f>
        <v>S</v>
      </c>
      <c r="Q19" s="2" t="str">
        <f>IF(E19=Stand!E19,"S",IF(E19=Double!E19,"D","H"))</f>
        <v>S</v>
      </c>
      <c r="R19" s="2" t="str">
        <f>IF(F19=Stand!F19,"S",IF(F19=Double!F19,"D","H"))</f>
        <v>S</v>
      </c>
      <c r="S19" s="2" t="str">
        <f>IF(G19=Stand!G19,"S",IF(G19=Double!G19,"D","H"))</f>
        <v>S</v>
      </c>
      <c r="T19" s="2" t="str">
        <f>IF(H19=Stand!H19,"S",IF(H19=Double!H19,"D","H"))</f>
        <v>S</v>
      </c>
      <c r="U19" s="2" t="str">
        <f>IF(I19=Stand!I19,"S",IF(I19=Double!I19,"D","H"))</f>
        <v>S</v>
      </c>
      <c r="V19" s="2" t="str">
        <f>IF(J19=Stand!J19,"S",IF(J19=Double!J19,"D","H"))</f>
        <v>S</v>
      </c>
      <c r="W19" s="2" t="str">
        <f>IF(K19=Stand!K19,"S",IF(K19=Double!K19,"D","H"))</f>
        <v>S</v>
      </c>
    </row>
    <row r="20" spans="1:23" ht="12.5" x14ac:dyDescent="0.25">
      <c r="A20" s="5">
        <v>22</v>
      </c>
      <c r="B20" s="5">
        <v>-1</v>
      </c>
      <c r="C20" s="5">
        <v>-1</v>
      </c>
      <c r="D20" s="5">
        <v>-1</v>
      </c>
      <c r="E20" s="5">
        <v>-1</v>
      </c>
      <c r="F20" s="5">
        <v>-1</v>
      </c>
      <c r="G20" s="5">
        <v>-1</v>
      </c>
      <c r="H20" s="5">
        <v>-1</v>
      </c>
      <c r="I20" s="5">
        <v>-1</v>
      </c>
      <c r="J20" s="5">
        <v>-1</v>
      </c>
      <c r="K20" s="5">
        <v>-1</v>
      </c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2.5" x14ac:dyDescent="0.25">
      <c r="A21" s="5">
        <v>23</v>
      </c>
      <c r="B21" s="5">
        <v>-1</v>
      </c>
      <c r="C21" s="5">
        <v>-1</v>
      </c>
      <c r="D21" s="5">
        <v>-1</v>
      </c>
      <c r="E21" s="5">
        <v>-1</v>
      </c>
      <c r="F21" s="5">
        <v>-1</v>
      </c>
      <c r="G21" s="5">
        <v>-1</v>
      </c>
      <c r="H21" s="5">
        <v>-1</v>
      </c>
      <c r="I21" s="5">
        <v>-1</v>
      </c>
      <c r="J21" s="5">
        <v>-1</v>
      </c>
      <c r="K21" s="5">
        <v>-1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2.5" x14ac:dyDescent="0.25">
      <c r="A22" s="5">
        <v>24</v>
      </c>
      <c r="B22" s="5">
        <v>-1</v>
      </c>
      <c r="C22" s="5">
        <v>-1</v>
      </c>
      <c r="D22" s="5">
        <v>-1</v>
      </c>
      <c r="E22" s="5">
        <v>-1</v>
      </c>
      <c r="F22" s="5">
        <v>-1</v>
      </c>
      <c r="G22" s="5">
        <v>-1</v>
      </c>
      <c r="H22" s="5">
        <v>-1</v>
      </c>
      <c r="I22" s="5">
        <v>-1</v>
      </c>
      <c r="J22" s="5">
        <v>-1</v>
      </c>
      <c r="K22" s="5">
        <v>-1</v>
      </c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2.5" x14ac:dyDescent="0.25">
      <c r="A23" s="5">
        <v>25</v>
      </c>
      <c r="B23" s="5">
        <v>-1</v>
      </c>
      <c r="C23" s="5">
        <v>-1</v>
      </c>
      <c r="D23" s="5">
        <v>-1</v>
      </c>
      <c r="E23" s="5">
        <v>-1</v>
      </c>
      <c r="F23" s="5">
        <v>-1</v>
      </c>
      <c r="G23" s="5">
        <v>-1</v>
      </c>
      <c r="H23" s="5">
        <v>-1</v>
      </c>
      <c r="I23" s="5">
        <v>-1</v>
      </c>
      <c r="J23" s="5">
        <v>-1</v>
      </c>
      <c r="K23" s="5">
        <v>-1</v>
      </c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2.5" x14ac:dyDescent="0.25">
      <c r="A24" s="5">
        <v>26</v>
      </c>
      <c r="B24" s="5">
        <v>-1</v>
      </c>
      <c r="C24" s="5">
        <v>-1</v>
      </c>
      <c r="D24" s="5">
        <v>-1</v>
      </c>
      <c r="E24" s="5">
        <v>-1</v>
      </c>
      <c r="F24" s="5">
        <v>-1</v>
      </c>
      <c r="G24" s="5">
        <v>-1</v>
      </c>
      <c r="H24" s="5">
        <v>-1</v>
      </c>
      <c r="I24" s="5">
        <v>-1</v>
      </c>
      <c r="J24" s="5">
        <v>-1</v>
      </c>
      <c r="K24" s="5">
        <v>-1</v>
      </c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2.5" x14ac:dyDescent="0.25">
      <c r="A25" s="5">
        <v>27</v>
      </c>
      <c r="B25" s="5">
        <v>-1</v>
      </c>
      <c r="C25" s="5">
        <v>-1</v>
      </c>
      <c r="D25" s="5">
        <v>-1</v>
      </c>
      <c r="E25" s="5">
        <v>-1</v>
      </c>
      <c r="F25" s="5">
        <v>-1</v>
      </c>
      <c r="G25" s="5">
        <v>-1</v>
      </c>
      <c r="H25" s="5">
        <v>-1</v>
      </c>
      <c r="I25" s="5">
        <v>-1</v>
      </c>
      <c r="J25" s="5">
        <v>-1</v>
      </c>
      <c r="K25" s="5">
        <v>-1</v>
      </c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2.5" x14ac:dyDescent="0.25">
      <c r="A26" s="5">
        <v>28</v>
      </c>
      <c r="B26" s="5">
        <v>-1</v>
      </c>
      <c r="C26" s="5">
        <v>-1</v>
      </c>
      <c r="D26" s="5">
        <v>-1</v>
      </c>
      <c r="E26" s="5">
        <v>-1</v>
      </c>
      <c r="F26" s="5">
        <v>-1</v>
      </c>
      <c r="G26" s="5">
        <v>-1</v>
      </c>
      <c r="H26" s="5">
        <v>-1</v>
      </c>
      <c r="I26" s="5">
        <v>-1</v>
      </c>
      <c r="J26" s="5">
        <v>-1</v>
      </c>
      <c r="K26" s="5">
        <v>-1</v>
      </c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2.5" x14ac:dyDescent="0.25">
      <c r="A27" s="5">
        <v>29</v>
      </c>
      <c r="B27" s="5">
        <v>-1</v>
      </c>
      <c r="C27" s="5">
        <v>-1</v>
      </c>
      <c r="D27" s="5">
        <v>-1</v>
      </c>
      <c r="E27" s="5">
        <v>-1</v>
      </c>
      <c r="F27" s="5">
        <v>-1</v>
      </c>
      <c r="G27" s="5">
        <v>-1</v>
      </c>
      <c r="H27" s="5">
        <v>-1</v>
      </c>
      <c r="I27" s="5">
        <v>-1</v>
      </c>
      <c r="J27" s="5">
        <v>-1</v>
      </c>
      <c r="K27" s="5">
        <v>-1</v>
      </c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2.5" x14ac:dyDescent="0.25">
      <c r="A28" s="5">
        <v>30</v>
      </c>
      <c r="B28" s="5">
        <v>-1</v>
      </c>
      <c r="C28" s="5">
        <v>-1</v>
      </c>
      <c r="D28" s="5">
        <v>-1</v>
      </c>
      <c r="E28" s="5">
        <v>-1</v>
      </c>
      <c r="F28" s="5">
        <v>-1</v>
      </c>
      <c r="G28" s="5">
        <v>-1</v>
      </c>
      <c r="H28" s="5">
        <v>-1</v>
      </c>
      <c r="I28" s="5">
        <v>-1</v>
      </c>
      <c r="J28" s="5">
        <v>-1</v>
      </c>
      <c r="K28" s="5">
        <v>-1</v>
      </c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2.5" x14ac:dyDescent="0.25">
      <c r="A29" s="5">
        <v>31</v>
      </c>
      <c r="B29" s="5">
        <v>-1</v>
      </c>
      <c r="C29" s="5">
        <v>-1</v>
      </c>
      <c r="D29" s="5">
        <v>-1</v>
      </c>
      <c r="E29" s="5">
        <v>-1</v>
      </c>
      <c r="F29" s="5">
        <v>-1</v>
      </c>
      <c r="G29" s="5">
        <v>-1</v>
      </c>
      <c r="H29" s="5">
        <v>-1</v>
      </c>
      <c r="I29" s="5">
        <v>-1</v>
      </c>
      <c r="J29" s="5">
        <v>-1</v>
      </c>
      <c r="K29" s="5">
        <v>-1</v>
      </c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2.5" x14ac:dyDescent="0.25"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2.5" x14ac:dyDescent="0.25">
      <c r="A31" s="5" t="s">
        <v>6</v>
      </c>
      <c r="M31" s="5" t="s">
        <v>6</v>
      </c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2.5" x14ac:dyDescent="0.25">
      <c r="A32" s="5">
        <v>12</v>
      </c>
      <c r="B32" s="5">
        <f>MAX(Hit!B32,Stand!B32,Double!B32)</f>
        <v>8.1836216051656058E-2</v>
      </c>
      <c r="C32" s="5">
        <f>MAX(Hit!C32,Stand!C32,Double!C32)</f>
        <v>0.10350704654207775</v>
      </c>
      <c r="D32" s="5">
        <f>MAX(Hit!D32,Stand!D32,Double!D32)</f>
        <v>0.12659562809256977</v>
      </c>
      <c r="E32" s="5">
        <f>MAX(Hit!E32,Stand!E32,Double!E32)</f>
        <v>0.15648238458465519</v>
      </c>
      <c r="F32" s="5">
        <f>MAX(Hit!F32,Stand!F32,Double!F32)</f>
        <v>0.18595361333225555</v>
      </c>
      <c r="G32" s="5">
        <f>MAX(Hit!G32,Stand!G32,Double!G32)</f>
        <v>0.16547293077063494</v>
      </c>
      <c r="H32" s="5">
        <f>MAX(Hit!H32,Stand!H32,Double!H32)</f>
        <v>9.5115020927032307E-2</v>
      </c>
      <c r="I32" s="5">
        <f>MAX(Hit!I32,Stand!I32,Double!I32)</f>
        <v>6.579084122688022E-5</v>
      </c>
      <c r="J32" s="5">
        <f>MAX(Hit!J32,Stand!J32,Double!J32)</f>
        <v>-7.0002397357964638E-2</v>
      </c>
      <c r="K32" s="5">
        <f>MAX(Hit!K32,Stand!K32,Double!K32)</f>
        <v>-2.0477877704912145E-2</v>
      </c>
      <c r="M32" s="5">
        <v>12</v>
      </c>
      <c r="N32" s="2" t="str">
        <f>IF(B32=Stand!B32,"S",IF(B32=Double!B32,"D","H"))</f>
        <v>H</v>
      </c>
      <c r="O32" s="2" t="str">
        <f>IF(C32=Stand!C32,"S",IF(C32=Double!C32,"D","H"))</f>
        <v>H</v>
      </c>
      <c r="P32" s="2" t="str">
        <f>IF(D32=Stand!D32,"S",IF(D32=Double!D32,"D","H"))</f>
        <v>H</v>
      </c>
      <c r="Q32" s="2" t="str">
        <f>IF(E32=Stand!E32,"S",IF(E32=Double!E32,"D","H"))</f>
        <v>H</v>
      </c>
      <c r="R32" s="2" t="str">
        <f>IF(F32=Stand!F32,"S",IF(F32=Double!F32,"D","H"))</f>
        <v>H</v>
      </c>
      <c r="S32" s="2" t="str">
        <f>IF(G32=Stand!G32,"S",IF(G32=Double!G32,"D","H"))</f>
        <v>H</v>
      </c>
      <c r="T32" s="2" t="str">
        <f>IF(H32=Stand!H32,"S",IF(H32=Double!H32,"D","H"))</f>
        <v>H</v>
      </c>
      <c r="U32" s="2" t="str">
        <f>IF(I32=Stand!I32,"S",IF(I32=Double!I32,"D","H"))</f>
        <v>H</v>
      </c>
      <c r="V32" s="2" t="str">
        <f>IF(J32=Stand!J32,"S",IF(J32=Double!J32,"D","H"))</f>
        <v>H</v>
      </c>
      <c r="W32" s="2" t="str">
        <f>IF(K32=Stand!K32,"S",IF(K32=Double!K32,"D","H"))</f>
        <v>H</v>
      </c>
    </row>
    <row r="33" spans="1:23" ht="12.5" x14ac:dyDescent="0.25">
      <c r="A33" s="5">
        <v>13</v>
      </c>
      <c r="B33" s="5">
        <f>MAX(Hit!B33,Stand!B33,Double!B33)</f>
        <v>4.6636132695309578E-2</v>
      </c>
      <c r="C33" s="5">
        <f>MAX(Hit!C33,Stand!C33,Double!C33)</f>
        <v>7.4118813392744051E-2</v>
      </c>
      <c r="D33" s="5">
        <f>MAX(Hit!D33,Stand!D33,Double!D33)</f>
        <v>0.10247714687203523</v>
      </c>
      <c r="E33" s="5">
        <f>MAX(Hit!E33,Stand!E33,Double!E33)</f>
        <v>0.13336273848321728</v>
      </c>
      <c r="F33" s="5">
        <f>MAX(Hit!F33,Stand!F33,Double!F33)</f>
        <v>0.17974820582791531</v>
      </c>
      <c r="G33" s="5">
        <f>MAX(Hit!G33,Stand!G33,Double!G33)</f>
        <v>0.12238569517899196</v>
      </c>
      <c r="H33" s="5">
        <f>MAX(Hit!H33,Stand!H33,Double!H33)</f>
        <v>5.4057070196311299E-2</v>
      </c>
      <c r="I33" s="5">
        <f>MAX(Hit!I33,Stand!I33,Double!I33)</f>
        <v>-3.7694688127479899E-2</v>
      </c>
      <c r="J33" s="5">
        <f>MAX(Hit!J33,Stand!J33,Double!J33)</f>
        <v>-0.10485135840627777</v>
      </c>
      <c r="K33" s="5">
        <f>MAX(Hit!K33,Stand!K33,Double!K33)</f>
        <v>-5.7308046666810254E-2</v>
      </c>
      <c r="M33" s="5">
        <v>13</v>
      </c>
      <c r="N33" s="2" t="str">
        <f>IF(B33=Stand!B33,"S",IF(B33=Double!B33,"D","H"))</f>
        <v>H</v>
      </c>
      <c r="O33" s="2" t="str">
        <f>IF(C33=Stand!C33,"S",IF(C33=Double!C33,"D","H"))</f>
        <v>H</v>
      </c>
      <c r="P33" s="2" t="str">
        <f>IF(D33=Stand!D33,"S",IF(D33=Double!D33,"D","H"))</f>
        <v>H</v>
      </c>
      <c r="Q33" s="2" t="str">
        <f>IF(E33=Stand!E33,"S",IF(E33=Double!E33,"D","H"))</f>
        <v>H</v>
      </c>
      <c r="R33" s="2" t="str">
        <f>IF(F33=Stand!F33,"S",IF(F33=Double!F33,"D","H"))</f>
        <v>D</v>
      </c>
      <c r="S33" s="2" t="str">
        <f>IF(G33=Stand!G33,"S",IF(G33=Double!G33,"D","H"))</f>
        <v>H</v>
      </c>
      <c r="T33" s="2" t="str">
        <f>IF(H33=Stand!H33,"S",IF(H33=Double!H33,"D","H"))</f>
        <v>H</v>
      </c>
      <c r="U33" s="2" t="str">
        <f>IF(I33=Stand!I33,"S",IF(I33=Double!I33,"D","H"))</f>
        <v>H</v>
      </c>
      <c r="V33" s="2" t="str">
        <f>IF(J33=Stand!J33,"S",IF(J33=Double!J33,"D","H"))</f>
        <v>H</v>
      </c>
      <c r="W33" s="2" t="str">
        <f>IF(K33=Stand!K33,"S",IF(K33=Double!K33,"D","H"))</f>
        <v>H</v>
      </c>
    </row>
    <row r="34" spans="1:23" ht="12.5" x14ac:dyDescent="0.25">
      <c r="A34" s="5">
        <v>14</v>
      </c>
      <c r="B34" s="5">
        <f>MAX(Hit!B34,Stand!B34,Double!B34)</f>
        <v>2.2391856987839083E-2</v>
      </c>
      <c r="C34" s="5">
        <f>MAX(Hit!C34,Stand!C34,Double!C34)</f>
        <v>5.0806738919282814E-2</v>
      </c>
      <c r="D34" s="5">
        <f>MAX(Hit!D34,Stand!D34,Double!D34)</f>
        <v>8.0081414310110233E-2</v>
      </c>
      <c r="E34" s="5">
        <f>MAX(Hit!E34,Stand!E34,Double!E34)</f>
        <v>0.12595448524867925</v>
      </c>
      <c r="F34" s="5">
        <f>MAX(Hit!F34,Stand!F34,Double!F34)</f>
        <v>0.17974820582791531</v>
      </c>
      <c r="G34" s="5">
        <f>MAX(Hit!G34,Stand!G34,Double!G34)</f>
        <v>7.9507488494468148E-2</v>
      </c>
      <c r="H34" s="5">
        <f>MAX(Hit!H34,Stand!H34,Double!H34)</f>
        <v>1.3277219463208461E-2</v>
      </c>
      <c r="I34" s="5">
        <f>MAX(Hit!I34,Stand!I34,Double!I34)</f>
        <v>-7.5163189441683848E-2</v>
      </c>
      <c r="J34" s="5">
        <f>MAX(Hit!J34,Stand!J34,Double!J34)</f>
        <v>-0.1394667821754545</v>
      </c>
      <c r="K34" s="5">
        <f>MAX(Hit!K34,Stand!K34,Double!K34)</f>
        <v>-9.3874324768310105E-2</v>
      </c>
      <c r="M34" s="5">
        <v>14</v>
      </c>
      <c r="N34" s="2" t="str">
        <f>IF(B34=Stand!B34,"S",IF(B34=Double!B34,"D","H"))</f>
        <v>H</v>
      </c>
      <c r="O34" s="2" t="str">
        <f>IF(C34=Stand!C34,"S",IF(C34=Double!C34,"D","H"))</f>
        <v>H</v>
      </c>
      <c r="P34" s="2" t="str">
        <f>IF(D34=Stand!D34,"S",IF(D34=Double!D34,"D","H"))</f>
        <v>H</v>
      </c>
      <c r="Q34" s="2" t="str">
        <f>IF(E34=Stand!E34,"S",IF(E34=Double!E34,"D","H"))</f>
        <v>D</v>
      </c>
      <c r="R34" s="2" t="str">
        <f>IF(F34=Stand!F34,"S",IF(F34=Double!F34,"D","H"))</f>
        <v>D</v>
      </c>
      <c r="S34" s="2" t="str">
        <f>IF(G34=Stand!G34,"S",IF(G34=Double!G34,"D","H"))</f>
        <v>H</v>
      </c>
      <c r="T34" s="2" t="str">
        <f>IF(H34=Stand!H34,"S",IF(H34=Double!H34,"D","H"))</f>
        <v>H</v>
      </c>
      <c r="U34" s="2" t="str">
        <f>IF(I34=Stand!I34,"S",IF(I34=Double!I34,"D","H"))</f>
        <v>H</v>
      </c>
      <c r="V34" s="2" t="str">
        <f>IF(J34=Stand!J34,"S",IF(J34=Double!J34,"D","H"))</f>
        <v>H</v>
      </c>
      <c r="W34" s="2" t="str">
        <f>IF(K34=Stand!K34,"S",IF(K34=Double!K34,"D","H"))</f>
        <v>H</v>
      </c>
    </row>
    <row r="35" spans="1:23" ht="12.5" x14ac:dyDescent="0.25">
      <c r="A35" s="5">
        <v>15</v>
      </c>
      <c r="B35" s="5">
        <f>MAX(Hit!B35,Stand!B35,Double!B35)</f>
        <v>-1.2068474052636583E-4</v>
      </c>
      <c r="C35" s="5">
        <f>MAX(Hit!C35,Stand!C35,Double!C35)</f>
        <v>2.9159812622497332E-2</v>
      </c>
      <c r="D35" s="5">
        <f>MAX(Hit!D35,Stand!D35,Double!D35)</f>
        <v>5.9285376931179926E-2</v>
      </c>
      <c r="E35" s="5">
        <f>MAX(Hit!E35,Stand!E35,Double!E35)</f>
        <v>0.12595448524867925</v>
      </c>
      <c r="F35" s="5">
        <f>MAX(Hit!F35,Stand!F35,Double!F35)</f>
        <v>0.17974820582791531</v>
      </c>
      <c r="G35" s="5">
        <f>MAX(Hit!G35,Stand!G35,Double!G35)</f>
        <v>3.7028282279269235E-2</v>
      </c>
      <c r="H35" s="5">
        <f>MAX(Hit!H35,Stand!H35,Double!H35)</f>
        <v>-2.7054780502901658E-2</v>
      </c>
      <c r="I35" s="5">
        <f>MAX(Hit!I35,Stand!I35,Double!I35)</f>
        <v>-0.11218876868994292</v>
      </c>
      <c r="J35" s="5">
        <f>MAX(Hit!J35,Stand!J35,Double!J35)</f>
        <v>-0.17370423031226784</v>
      </c>
      <c r="K35" s="5">
        <f>MAX(Hit!K35,Stand!K35,Double!K35)</f>
        <v>-0.13002650167843849</v>
      </c>
      <c r="M35" s="5">
        <v>15</v>
      </c>
      <c r="N35" s="2" t="str">
        <f>IF(B35=Stand!B35,"S",IF(B35=Double!B35,"D","H"))</f>
        <v>H</v>
      </c>
      <c r="O35" s="2" t="str">
        <f>IF(C35=Stand!C35,"S",IF(C35=Double!C35,"D","H"))</f>
        <v>H</v>
      </c>
      <c r="P35" s="2" t="str">
        <f>IF(D35=Stand!D35,"S",IF(D35=Double!D35,"D","H"))</f>
        <v>H</v>
      </c>
      <c r="Q35" s="2" t="str">
        <f>IF(E35=Stand!E35,"S",IF(E35=Double!E35,"D","H"))</f>
        <v>D</v>
      </c>
      <c r="R35" s="2" t="str">
        <f>IF(F35=Stand!F35,"S",IF(F35=Double!F35,"D","H"))</f>
        <v>D</v>
      </c>
      <c r="S35" s="2" t="str">
        <f>IF(G35=Stand!G35,"S",IF(G35=Double!G35,"D","H"))</f>
        <v>H</v>
      </c>
      <c r="T35" s="2" t="str">
        <f>IF(H35=Stand!H35,"S",IF(H35=Double!H35,"D","H"))</f>
        <v>H</v>
      </c>
      <c r="U35" s="2" t="str">
        <f>IF(I35=Stand!I35,"S",IF(I35=Double!I35,"D","H"))</f>
        <v>H</v>
      </c>
      <c r="V35" s="2" t="str">
        <f>IF(J35=Stand!J35,"S",IF(J35=Double!J35,"D","H"))</f>
        <v>H</v>
      </c>
      <c r="W35" s="2" t="str">
        <f>IF(K35=Stand!K35,"S",IF(K35=Double!K35,"D","H"))</f>
        <v>H</v>
      </c>
    </row>
    <row r="36" spans="1:23" ht="12.5" x14ac:dyDescent="0.25">
      <c r="A36" s="5">
        <v>16</v>
      </c>
      <c r="B36" s="5">
        <f>MAX(Hit!B36,Stand!B36,Double!B36)</f>
        <v>-2.1025187774008566E-2</v>
      </c>
      <c r="C36" s="5">
        <f>MAX(Hit!C36,Stand!C36,Double!C36)</f>
        <v>9.0590953469108244E-3</v>
      </c>
      <c r="D36" s="5">
        <f>MAX(Hit!D36,Stand!D36,Double!D36)</f>
        <v>5.8426518743744951E-2</v>
      </c>
      <c r="E36" s="5">
        <f>MAX(Hit!E36,Stand!E36,Double!E36)</f>
        <v>0.12595448524867925</v>
      </c>
      <c r="F36" s="5">
        <f>MAX(Hit!F36,Stand!F36,Double!F36)</f>
        <v>0.17974820582791523</v>
      </c>
      <c r="G36" s="5">
        <f>MAX(Hit!G36,Stand!G36,Double!G36)</f>
        <v>-4.8901571730158942E-3</v>
      </c>
      <c r="H36" s="5">
        <f>MAX(Hit!H36,Stand!H36,Double!H36)</f>
        <v>-6.6794847920094089E-2</v>
      </c>
      <c r="I36" s="5">
        <f>MAX(Hit!I36,Stand!I36,Double!I36)</f>
        <v>-0.14864353463007476</v>
      </c>
      <c r="J36" s="5">
        <f>MAX(Hit!J36,Stand!J36,Double!J36)</f>
        <v>-0.20744109003068206</v>
      </c>
      <c r="K36" s="5">
        <f>MAX(Hit!K36,Stand!K36,Double!K36)</f>
        <v>-0.16563717206687348</v>
      </c>
      <c r="M36" s="5">
        <v>16</v>
      </c>
      <c r="N36" s="2" t="str">
        <f>IF(B36=Stand!B36,"S",IF(B36=Double!B36,"D","H"))</f>
        <v>H</v>
      </c>
      <c r="O36" s="2" t="str">
        <f>IF(C36=Stand!C36,"S",IF(C36=Double!C36,"D","H"))</f>
        <v>H</v>
      </c>
      <c r="P36" s="2" t="str">
        <f>IF(D36=Stand!D36,"S",IF(D36=Double!D36,"D","H"))</f>
        <v>D</v>
      </c>
      <c r="Q36" s="2" t="str">
        <f>IF(E36=Stand!E36,"S",IF(E36=Double!E36,"D","H"))</f>
        <v>D</v>
      </c>
      <c r="R36" s="2" t="str">
        <f>IF(F36=Stand!F36,"S",IF(F36=Double!F36,"D","H"))</f>
        <v>D</v>
      </c>
      <c r="S36" s="2" t="str">
        <f>IF(G36=Stand!G36,"S",IF(G36=Double!G36,"D","H"))</f>
        <v>H</v>
      </c>
      <c r="T36" s="2" t="str">
        <f>IF(H36=Stand!H36,"S",IF(H36=Double!H36,"D","H"))</f>
        <v>H</v>
      </c>
      <c r="U36" s="2" t="str">
        <f>IF(I36=Stand!I36,"S",IF(I36=Double!I36,"D","H"))</f>
        <v>H</v>
      </c>
      <c r="V36" s="2" t="str">
        <f>IF(J36=Stand!J36,"S",IF(J36=Double!J36,"D","H"))</f>
        <v>H</v>
      </c>
      <c r="W36" s="2" t="str">
        <f>IF(K36=Stand!K36,"S",IF(K36=Double!K36,"D","H"))</f>
        <v>H</v>
      </c>
    </row>
    <row r="37" spans="1:23" ht="12.5" x14ac:dyDescent="0.25">
      <c r="A37" s="5">
        <v>17</v>
      </c>
      <c r="B37" s="5">
        <f>MAX(Hit!B37,Stand!B37,Double!B37)</f>
        <v>-4.9104358288912882E-4</v>
      </c>
      <c r="C37" s="5">
        <f>MAX(Hit!C37,Stand!C37,Double!C37)</f>
        <v>5.5095284479298269E-2</v>
      </c>
      <c r="D37" s="5">
        <f>MAX(Hit!D37,Stand!D37,Double!D37)</f>
        <v>0.11865255067432869</v>
      </c>
      <c r="E37" s="5">
        <f>MAX(Hit!E37,Stand!E37,Double!E37)</f>
        <v>0.18237815537354879</v>
      </c>
      <c r="F37" s="5">
        <f>MAX(Hit!F37,Stand!F37,Double!F37)</f>
        <v>0.25610428729099821</v>
      </c>
      <c r="G37" s="5">
        <f>MAX(Hit!G37,Stand!G37,Double!G37)</f>
        <v>5.3823463716116654E-2</v>
      </c>
      <c r="H37" s="5">
        <f>MAX(Hit!H37,Stand!H37,Double!H37)</f>
        <v>-7.2915398729642061E-2</v>
      </c>
      <c r="I37" s="5">
        <f>MAX(Hit!I37,Stand!I37,Double!I37)</f>
        <v>-0.14978689218213329</v>
      </c>
      <c r="J37" s="5">
        <f>MAX(Hit!J37,Stand!J37,Double!J37)</f>
        <v>-0.19686697623363469</v>
      </c>
      <c r="K37" s="5">
        <f>MAX(Hit!K37,Stand!K37,Double!K37)</f>
        <v>-0.17956936979241733</v>
      </c>
      <c r="M37" s="5">
        <v>17</v>
      </c>
      <c r="N37" s="2" t="str">
        <f>IF(B37=Stand!B37,"S",IF(B37=Double!B37,"D","H"))</f>
        <v>H</v>
      </c>
      <c r="O37" s="2" t="str">
        <f>IF(C37=Stand!C37,"S",IF(C37=Double!C37,"D","H"))</f>
        <v>D</v>
      </c>
      <c r="P37" s="2" t="str">
        <f>IF(D37=Stand!D37,"S",IF(D37=Double!D37,"D","H"))</f>
        <v>D</v>
      </c>
      <c r="Q37" s="2" t="str">
        <f>IF(E37=Stand!E37,"S",IF(E37=Double!E37,"D","H"))</f>
        <v>D</v>
      </c>
      <c r="R37" s="2" t="str">
        <f>IF(F37=Stand!F37,"S",IF(F37=Double!F37,"D","H"))</f>
        <v>D</v>
      </c>
      <c r="S37" s="2" t="str">
        <f>IF(G37=Stand!G37,"S",IF(G37=Double!G37,"D","H"))</f>
        <v>H</v>
      </c>
      <c r="T37" s="2" t="str">
        <f>IF(H37=Stand!H37,"S",IF(H37=Double!H37,"D","H"))</f>
        <v>H</v>
      </c>
      <c r="U37" s="2" t="str">
        <f>IF(I37=Stand!I37,"S",IF(I37=Double!I37,"D","H"))</f>
        <v>H</v>
      </c>
      <c r="V37" s="2" t="str">
        <f>IF(J37=Stand!J37,"S",IF(J37=Double!J37,"D","H"))</f>
        <v>H</v>
      </c>
      <c r="W37" s="2" t="str">
        <f>IF(K37=Stand!K37,"S",IF(K37=Double!K37,"D","H"))</f>
        <v>H</v>
      </c>
    </row>
    <row r="38" spans="1:23" ht="12.5" x14ac:dyDescent="0.25">
      <c r="A38" s="5">
        <v>18</v>
      </c>
      <c r="B38" s="5">
        <f>MAX(Hit!B38,Stand!B38,Double!B38)</f>
        <v>0.12174190222088771</v>
      </c>
      <c r="C38" s="5">
        <f>MAX(Hit!C38,Stand!C38,Double!C38)</f>
        <v>0.1776412756789375</v>
      </c>
      <c r="D38" s="5">
        <f>MAX(Hit!D38,Stand!D38,Double!D38)</f>
        <v>0.23700384775562167</v>
      </c>
      <c r="E38" s="5">
        <f>MAX(Hit!E38,Stand!E38,Double!E38)</f>
        <v>0.29522549562328804</v>
      </c>
      <c r="F38" s="5">
        <f>MAX(Hit!F38,Stand!F38,Double!F38)</f>
        <v>0.38150648207879362</v>
      </c>
      <c r="G38" s="5">
        <f>MAX(Hit!G38,Stand!G38,Double!G38)</f>
        <v>0.3995541673365518</v>
      </c>
      <c r="H38" s="5">
        <f>MAX(Hit!H38,Stand!H38,Double!H38)</f>
        <v>0.10595134861912359</v>
      </c>
      <c r="I38" s="5">
        <f>MAX(Hit!I38,Stand!I38,Double!I38)</f>
        <v>-0.10074430758041525</v>
      </c>
      <c r="J38" s="5">
        <f>MAX(Hit!J38,Stand!J38,Double!J38)</f>
        <v>-0.14380812317405353</v>
      </c>
      <c r="K38" s="5">
        <f>MAX(Hit!K38,Stand!K38,Double!K38)</f>
        <v>-9.2935491769284034E-2</v>
      </c>
      <c r="M38" s="5">
        <v>18</v>
      </c>
      <c r="N38" s="2" t="str">
        <f>IF(B38=Stand!B38,"S",IF(B38=Double!B38,"D","H"))</f>
        <v>S</v>
      </c>
      <c r="O38" s="2" t="str">
        <f>IF(C38=Stand!C38,"S",IF(C38=Double!C38,"D","H"))</f>
        <v>D</v>
      </c>
      <c r="P38" s="2" t="str">
        <f>IF(D38=Stand!D38,"S",IF(D38=Double!D38,"D","H"))</f>
        <v>D</v>
      </c>
      <c r="Q38" s="2" t="str">
        <f>IF(E38=Stand!E38,"S",IF(E38=Double!E38,"D","H"))</f>
        <v>D</v>
      </c>
      <c r="R38" s="2" t="str">
        <f>IF(F38=Stand!F38,"S",IF(F38=Double!F38,"D","H"))</f>
        <v>D</v>
      </c>
      <c r="S38" s="2" t="str">
        <f>IF(G38=Stand!G38,"S",IF(G38=Double!G38,"D","H"))</f>
        <v>S</v>
      </c>
      <c r="T38" s="2" t="str">
        <f>IF(H38=Stand!H38,"S",IF(H38=Double!H38,"D","H"))</f>
        <v>S</v>
      </c>
      <c r="U38" s="2" t="str">
        <f>IF(I38=Stand!I38,"S",IF(I38=Double!I38,"D","H"))</f>
        <v>H</v>
      </c>
      <c r="V38" s="2" t="str">
        <f>IF(J38=Stand!J38,"S",IF(J38=Double!J38,"D","H"))</f>
        <v>H</v>
      </c>
      <c r="W38" s="2" t="str">
        <f>IF(K38=Stand!K38,"S",IF(K38=Double!K38,"D","H"))</f>
        <v>H</v>
      </c>
    </row>
    <row r="39" spans="1:23" ht="12.5" x14ac:dyDescent="0.25">
      <c r="A39" s="5">
        <v>19</v>
      </c>
      <c r="B39" s="5">
        <f>MAX(Hit!B39,Stand!B39,Double!B39)</f>
        <v>0.38630468602058993</v>
      </c>
      <c r="C39" s="5">
        <f>MAX(Hit!C39,Stand!C39,Double!C39)</f>
        <v>0.4043629365977599</v>
      </c>
      <c r="D39" s="5">
        <f>MAX(Hit!D39,Stand!D39,Double!D39)</f>
        <v>0.42317892482749653</v>
      </c>
      <c r="E39" s="5">
        <f>MAX(Hit!E39,Stand!E39,Double!E39)</f>
        <v>0.43951210416088371</v>
      </c>
      <c r="F39" s="5">
        <f>MAX(Hit!F39,Stand!F39,Double!F39)</f>
        <v>0.49597707378731926</v>
      </c>
      <c r="G39" s="5">
        <f>MAX(Hit!G39,Stand!G39,Double!G39)</f>
        <v>0.6159764957534315</v>
      </c>
      <c r="H39" s="5">
        <f>MAX(Hit!H39,Stand!H39,Double!H39)</f>
        <v>0.59385366828669439</v>
      </c>
      <c r="I39" s="5">
        <f>MAX(Hit!I39,Stand!I39,Double!I39)</f>
        <v>0.28759675706758148</v>
      </c>
      <c r="J39" s="5">
        <f>MAX(Hit!J39,Stand!J39,Double!J39)</f>
        <v>6.3118166335840831E-2</v>
      </c>
      <c r="K39" s="5">
        <f>MAX(Hit!K39,Stand!K39,Double!K39)</f>
        <v>0.27763572376835594</v>
      </c>
      <c r="M39" s="5">
        <v>19</v>
      </c>
      <c r="N39" s="2" t="str">
        <f>IF(B39=Stand!B39,"S",IF(B39=Double!B39,"D","H"))</f>
        <v>S</v>
      </c>
      <c r="O39" s="2" t="str">
        <f>IF(C39=Stand!C39,"S",IF(C39=Double!C39,"D","H"))</f>
        <v>S</v>
      </c>
      <c r="P39" s="2" t="str">
        <f>IF(D39=Stand!D39,"S",IF(D39=Double!D39,"D","H"))</f>
        <v>S</v>
      </c>
      <c r="Q39" s="2" t="str">
        <f>IF(E39=Stand!E39,"S",IF(E39=Double!E39,"D","H"))</f>
        <v>S</v>
      </c>
      <c r="R39" s="2" t="str">
        <f>IF(F39=Stand!F39,"S",IF(F39=Double!F39,"D","H"))</f>
        <v>S</v>
      </c>
      <c r="S39" s="2" t="str">
        <f>IF(G39=Stand!G39,"S",IF(G39=Double!G39,"D","H"))</f>
        <v>S</v>
      </c>
      <c r="T39" s="2" t="str">
        <f>IF(H39=Stand!H39,"S",IF(H39=Double!H39,"D","H"))</f>
        <v>S</v>
      </c>
      <c r="U39" s="2" t="str">
        <f>IF(I39=Stand!I39,"S",IF(I39=Double!I39,"D","H"))</f>
        <v>S</v>
      </c>
      <c r="V39" s="2" t="str">
        <f>IF(J39=Stand!J39,"S",IF(J39=Double!J39,"D","H"))</f>
        <v>S</v>
      </c>
      <c r="W39" s="2" t="str">
        <f>IF(K39=Stand!K39,"S",IF(K39=Double!K39,"D","H"))</f>
        <v>S</v>
      </c>
    </row>
    <row r="40" spans="1:23" ht="12.5" x14ac:dyDescent="0.25">
      <c r="A40" s="5">
        <v>20</v>
      </c>
      <c r="B40" s="5">
        <f>MAX(Hit!B40,Stand!B40,Double!B40)</f>
        <v>0.63998657521683877</v>
      </c>
      <c r="C40" s="5">
        <f>MAX(Hit!C40,Stand!C40,Double!C40)</f>
        <v>0.65027209425148136</v>
      </c>
      <c r="D40" s="5">
        <f>MAX(Hit!D40,Stand!D40,Double!D40)</f>
        <v>0.66104996194807186</v>
      </c>
      <c r="E40" s="5">
        <f>MAX(Hit!E40,Stand!E40,Double!E40)</f>
        <v>0.67035969063279999</v>
      </c>
      <c r="F40" s="5">
        <f>MAX(Hit!F40,Stand!F40,Double!F40)</f>
        <v>0.70395857017134467</v>
      </c>
      <c r="G40" s="5">
        <f>MAX(Hit!G40,Stand!G40,Double!G40)</f>
        <v>0.77322722653717491</v>
      </c>
      <c r="H40" s="5">
        <f>MAX(Hit!H40,Stand!H40,Double!H40)</f>
        <v>0.79181515955189841</v>
      </c>
      <c r="I40" s="5">
        <f>MAX(Hit!I40,Stand!I40,Double!I40)</f>
        <v>0.75835687080859615</v>
      </c>
      <c r="J40" s="5">
        <f>MAX(Hit!J40,Stand!J40,Double!J40)</f>
        <v>0.55453756646817121</v>
      </c>
      <c r="K40" s="5">
        <f>MAX(Hit!K40,Stand!K40,Double!K40)</f>
        <v>0.65547032314990239</v>
      </c>
      <c r="M40" s="5">
        <v>20</v>
      </c>
      <c r="N40" s="2" t="str">
        <f>IF(B40=Stand!B40,"S",IF(B40=Double!B40,"D","H"))</f>
        <v>S</v>
      </c>
      <c r="O40" s="2" t="str">
        <f>IF(C40=Stand!C40,"S",IF(C40=Double!C40,"D","H"))</f>
        <v>S</v>
      </c>
      <c r="P40" s="2" t="str">
        <f>IF(D40=Stand!D40,"S",IF(D40=Double!D40,"D","H"))</f>
        <v>S</v>
      </c>
      <c r="Q40" s="2" t="str">
        <f>IF(E40=Stand!E40,"S",IF(E40=Double!E40,"D","H"))</f>
        <v>S</v>
      </c>
      <c r="R40" s="2" t="str">
        <f>IF(F40=Stand!F40,"S",IF(F40=Double!F40,"D","H"))</f>
        <v>S</v>
      </c>
      <c r="S40" s="2" t="str">
        <f>IF(G40=Stand!G40,"S",IF(G40=Double!G40,"D","H"))</f>
        <v>S</v>
      </c>
      <c r="T40" s="2" t="str">
        <f>IF(H40=Stand!H40,"S",IF(H40=Double!H40,"D","H"))</f>
        <v>S</v>
      </c>
      <c r="U40" s="2" t="str">
        <f>IF(I40=Stand!I40,"S",IF(I40=Double!I40,"D","H"))</f>
        <v>S</v>
      </c>
      <c r="V40" s="2" t="str">
        <f>IF(J40=Stand!J40,"S",IF(J40=Double!J40,"D","H"))</f>
        <v>S</v>
      </c>
      <c r="W40" s="2" t="str">
        <f>IF(K40=Stand!K40,"S",IF(K40=Double!K40,"D","H"))</f>
        <v>S</v>
      </c>
    </row>
    <row r="41" spans="1:23" ht="12.5" x14ac:dyDescent="0.25">
      <c r="A41" s="5">
        <v>21</v>
      </c>
      <c r="B41" s="5">
        <f>MAX(Hit!B41,Stand!B41,Double!B41)</f>
        <v>0.88200651549403997</v>
      </c>
      <c r="C41" s="5">
        <f>MAX(Hit!C41,Stand!C41,Double!C41)</f>
        <v>0.88530035730174927</v>
      </c>
      <c r="D41" s="5">
        <f>MAX(Hit!D41,Stand!D41,Double!D41)</f>
        <v>0.88876729296591961</v>
      </c>
      <c r="E41" s="5">
        <f>MAX(Hit!E41,Stand!E41,Double!E41)</f>
        <v>0.89175382659528035</v>
      </c>
      <c r="F41" s="5">
        <f>MAX(Hit!F41,Stand!F41,Double!F41)</f>
        <v>0.90283674384258006</v>
      </c>
      <c r="G41" s="5">
        <f>MAX(Hit!G41,Stand!G41,Double!G41)</f>
        <v>0.92592629596452325</v>
      </c>
      <c r="H41" s="5">
        <f>MAX(Hit!H41,Stand!H41,Double!H41)</f>
        <v>0.93060505318396614</v>
      </c>
      <c r="I41" s="5">
        <f>MAX(Hit!I41,Stand!I41,Double!I41)</f>
        <v>0.93917615614724415</v>
      </c>
      <c r="J41" s="5">
        <f>MAX(Hit!J41,Stand!J41,Double!J41)</f>
        <v>0.96262363326716827</v>
      </c>
      <c r="K41" s="5">
        <f>MAX(Hit!K41,Stand!K41,Double!K41)</f>
        <v>0.92219381142033785</v>
      </c>
      <c r="M41" s="5">
        <v>21</v>
      </c>
      <c r="N41" s="2" t="str">
        <f>IF(B41=Stand!B41,"S",IF(B41=Double!B41,"D","H"))</f>
        <v>S</v>
      </c>
      <c r="O41" s="2" t="str">
        <f>IF(C41=Stand!C41,"S",IF(C41=Double!C41,"D","H"))</f>
        <v>S</v>
      </c>
      <c r="P41" s="2" t="str">
        <f>IF(D41=Stand!D41,"S",IF(D41=Double!D41,"D","H"))</f>
        <v>S</v>
      </c>
      <c r="Q41" s="2" t="str">
        <f>IF(E41=Stand!E41,"S",IF(E41=Double!E41,"D","H"))</f>
        <v>S</v>
      </c>
      <c r="R41" s="2" t="str">
        <f>IF(F41=Stand!F41,"S",IF(F41=Double!F41,"D","H"))</f>
        <v>S</v>
      </c>
      <c r="S41" s="2" t="str">
        <f>IF(G41=Stand!G41,"S",IF(G41=Double!G41,"D","H"))</f>
        <v>S</v>
      </c>
      <c r="T41" s="2" t="str">
        <f>IF(H41=Stand!H41,"S",IF(H41=Double!H41,"D","H"))</f>
        <v>S</v>
      </c>
      <c r="U41" s="2" t="str">
        <f>IF(I41=Stand!I41,"S",IF(I41=Double!I41,"D","H"))</f>
        <v>S</v>
      </c>
      <c r="V41" s="2" t="str">
        <f>IF(J41=Stand!J41,"S",IF(J41=Double!J41,"D","H"))</f>
        <v>S</v>
      </c>
      <c r="W41" s="2" t="str">
        <f>IF(K41=Stand!K41,"S",IF(K41=Double!K41,"D","H"))</f>
        <v>S</v>
      </c>
    </row>
    <row r="42" spans="1:23" ht="12.5" x14ac:dyDescent="0.25">
      <c r="A42" s="5">
        <v>22</v>
      </c>
      <c r="B42" s="5">
        <f>MAX(Hit!B42,Stand!B42,Double!B42)</f>
        <v>-0.25338998596663803</v>
      </c>
      <c r="C42" s="5">
        <f>MAX(Hit!C42,Stand!C42,Double!C42)</f>
        <v>-0.2336908997980866</v>
      </c>
      <c r="D42" s="5">
        <f>MAX(Hit!D42,Stand!D42,Double!D42)</f>
        <v>-0.21106310899491437</v>
      </c>
      <c r="E42" s="5">
        <f>MAX(Hit!E42,Stand!E42,Double!E42)</f>
        <v>-0.16719266083547524</v>
      </c>
      <c r="F42" s="5">
        <f>MAX(Hit!F42,Stand!F42,Double!F42)</f>
        <v>-0.15369901583000439</v>
      </c>
      <c r="G42" s="5">
        <f>MAX(Hit!G42,Stand!G42,Double!G42)</f>
        <v>-0.21284771451731427</v>
      </c>
      <c r="H42" s="5">
        <f>MAX(Hit!H42,Stand!H42,Double!H42)</f>
        <v>-0.27157480502428616</v>
      </c>
      <c r="I42" s="5">
        <f>MAX(Hit!I42,Stand!I42,Double!I42)</f>
        <v>-0.3400132806089356</v>
      </c>
      <c r="J42" s="5">
        <f>MAX(Hit!J42,Stand!J42,Double!J42)</f>
        <v>-0.38104299284808757</v>
      </c>
      <c r="K42" s="5">
        <f>MAX(Hit!K42,Stand!K42,Double!K42)</f>
        <v>-0.35054034044008009</v>
      </c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2.5" x14ac:dyDescent="0.25">
      <c r="A43" s="5">
        <v>23</v>
      </c>
      <c r="B43" s="5">
        <f>MAX(Hit!B43,Stand!B43,Double!B43)</f>
        <v>-0.29278372720927726</v>
      </c>
      <c r="C43" s="5">
        <f>MAX(Hit!C43,Stand!C43,Double!C43)</f>
        <v>-0.2522502292357135</v>
      </c>
      <c r="D43" s="5">
        <f>MAX(Hit!D43,Stand!D43,Double!D43)</f>
        <v>-0.21106310899491437</v>
      </c>
      <c r="E43" s="5">
        <f>MAX(Hit!E43,Stand!E43,Double!E43)</f>
        <v>-0.16719266083547524</v>
      </c>
      <c r="F43" s="5">
        <f>MAX(Hit!F43,Stand!F43,Double!F43)</f>
        <v>-0.15369901583000439</v>
      </c>
      <c r="G43" s="5">
        <f>MAX(Hit!G43,Stand!G43,Double!G43)</f>
        <v>-0.26907287776607752</v>
      </c>
      <c r="H43" s="5">
        <f>MAX(Hit!H43,Stand!H43,Double!H43)</f>
        <v>-0.32360517609397998</v>
      </c>
      <c r="I43" s="5">
        <f>MAX(Hit!I43,Stand!I43,Double!I43)</f>
        <v>-0.38715518913686875</v>
      </c>
      <c r="J43" s="5">
        <f>MAX(Hit!J43,Stand!J43,Double!J43)</f>
        <v>-0.42525420764465277</v>
      </c>
      <c r="K43" s="5">
        <f>MAX(Hit!K43,Stand!K43,Double!K43)</f>
        <v>-0.3969303161229315</v>
      </c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2.5" x14ac:dyDescent="0.25">
      <c r="A44" s="5">
        <v>24</v>
      </c>
      <c r="B44" s="5">
        <f>MAX(Hit!B44,Stand!B44,Double!B44)</f>
        <v>-0.29278372720927726</v>
      </c>
      <c r="C44" s="5">
        <f>MAX(Hit!C44,Stand!C44,Double!C44)</f>
        <v>-0.2522502292357135</v>
      </c>
      <c r="D44" s="5">
        <f>MAX(Hit!D44,Stand!D44,Double!D44)</f>
        <v>-0.21106310899491437</v>
      </c>
      <c r="E44" s="5">
        <f>MAX(Hit!E44,Stand!E44,Double!E44)</f>
        <v>-0.16719266083547524</v>
      </c>
      <c r="F44" s="5">
        <f>MAX(Hit!F44,Stand!F44,Double!F44)</f>
        <v>-0.15369901583000439</v>
      </c>
      <c r="G44" s="5">
        <f>MAX(Hit!G44,Stand!G44,Double!G44)</f>
        <v>-0.3212819579256434</v>
      </c>
      <c r="H44" s="5">
        <f>MAX(Hit!H44,Stand!H44,Double!H44)</f>
        <v>-0.37191909208726709</v>
      </c>
      <c r="I44" s="5">
        <f>MAX(Hit!I44,Stand!I44,Double!I44)</f>
        <v>-0.43092981848423528</v>
      </c>
      <c r="J44" s="5">
        <f>MAX(Hit!J44,Stand!J44,Double!J44)</f>
        <v>-0.46630747852717758</v>
      </c>
      <c r="K44" s="5">
        <f>MAX(Hit!K44,Stand!K44,Double!K44)</f>
        <v>-0.44000672211415065</v>
      </c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2.5" x14ac:dyDescent="0.25">
      <c r="A45" s="5">
        <v>25</v>
      </c>
      <c r="B45" s="5">
        <f>MAX(Hit!B45,Stand!B45,Double!B45)</f>
        <v>-0.29278372720927726</v>
      </c>
      <c r="C45" s="5">
        <f>MAX(Hit!C45,Stand!C45,Double!C45)</f>
        <v>-0.2522502292357135</v>
      </c>
      <c r="D45" s="5">
        <f>MAX(Hit!D45,Stand!D45,Double!D45)</f>
        <v>-0.21106310899491437</v>
      </c>
      <c r="E45" s="5">
        <f>MAX(Hit!E45,Stand!E45,Double!E45)</f>
        <v>-0.16719266083547524</v>
      </c>
      <c r="F45" s="5">
        <f>MAX(Hit!F45,Stand!F45,Double!F45)</f>
        <v>-0.15369901583000439</v>
      </c>
      <c r="G45" s="5">
        <f>MAX(Hit!G45,Stand!G45,Double!G45)</f>
        <v>-0.36976181807381175</v>
      </c>
      <c r="H45" s="5">
        <f>MAX(Hit!H45,Stand!H45,Double!H45)</f>
        <v>-0.41678201408103371</v>
      </c>
      <c r="I45" s="5">
        <f>MAX(Hit!I45,Stand!I45,Double!I45)</f>
        <v>-0.47157768859250421</v>
      </c>
      <c r="J45" s="5">
        <f>MAX(Hit!J45,Stand!J45,Double!J45)</f>
        <v>-0.5044283729180935</v>
      </c>
      <c r="K45" s="5">
        <f>MAX(Hit!K45,Stand!K45,Double!K45)</f>
        <v>-0.4800062419631399</v>
      </c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2.5" x14ac:dyDescent="0.25">
      <c r="A46" s="5">
        <v>26</v>
      </c>
      <c r="B46" s="5">
        <f>MAX(Hit!B46,Stand!B46,Double!B46)</f>
        <v>-0.29278372720927726</v>
      </c>
      <c r="C46" s="5">
        <f>MAX(Hit!C46,Stand!C46,Double!C46)</f>
        <v>-0.2522502292357135</v>
      </c>
      <c r="D46" s="5">
        <f>MAX(Hit!D46,Stand!D46,Double!D46)</f>
        <v>-0.21106310899491437</v>
      </c>
      <c r="E46" s="5">
        <f>MAX(Hit!E46,Stand!E46,Double!E46)</f>
        <v>-0.16719266083547524</v>
      </c>
      <c r="F46" s="5">
        <f>MAX(Hit!F46,Stand!F46,Double!F46)</f>
        <v>-0.15369901583000439</v>
      </c>
      <c r="G46" s="5">
        <f>MAX(Hit!G46,Stand!G46,Double!G46)</f>
        <v>-0.41477883106853947</v>
      </c>
      <c r="H46" s="5">
        <f>MAX(Hit!H46,Stand!H46,Double!H46)</f>
        <v>-0.45844044164667419</v>
      </c>
      <c r="I46" s="5">
        <f>MAX(Hit!I46,Stand!I46,Double!I46)</f>
        <v>-0.50932213940732529</v>
      </c>
      <c r="J46" s="5">
        <f>MAX(Hit!J46,Stand!J46,Double!J46)</f>
        <v>-0.53982634628108683</v>
      </c>
      <c r="K46" s="5">
        <f>MAX(Hit!K46,Stand!K46,Double!K46)</f>
        <v>-0.51714865325148707</v>
      </c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2.5" x14ac:dyDescent="0.25">
      <c r="A47" s="5">
        <v>27</v>
      </c>
      <c r="B47" s="5">
        <f>MAX(Hit!B47,Stand!B47,Double!B47)</f>
        <v>-0.15297458768154204</v>
      </c>
      <c r="C47" s="5">
        <f>MAX(Hit!C47,Stand!C47,Double!C47)</f>
        <v>-0.11721624142457365</v>
      </c>
      <c r="D47" s="5">
        <f>MAX(Hit!D47,Stand!D47,Double!D47)</f>
        <v>-8.0573373145316152E-2</v>
      </c>
      <c r="E47" s="5">
        <f>MAX(Hit!E47,Stand!E47,Double!E47)</f>
        <v>-4.4941375564924446E-2</v>
      </c>
      <c r="F47" s="5">
        <f>MAX(Hit!F47,Stand!F47,Double!F47)</f>
        <v>1.1739160673341964E-2</v>
      </c>
      <c r="G47" s="5">
        <f>MAX(Hit!G47,Stand!G47,Double!G47)</f>
        <v>-0.10680898948269468</v>
      </c>
      <c r="H47" s="5">
        <f>MAX(Hit!H47,Stand!H47,Double!H47)</f>
        <v>-0.38195097104844711</v>
      </c>
      <c r="I47" s="5">
        <f>MAX(Hit!I47,Stand!I47,Double!I47)</f>
        <v>-0.42315423964521748</v>
      </c>
      <c r="J47" s="5">
        <f>MAX(Hit!J47,Stand!J47,Double!J47)</f>
        <v>-0.41972063392881986</v>
      </c>
      <c r="K47" s="5">
        <f>MAX(Hit!K47,Stand!K47,Double!K47)</f>
        <v>-0.47803347499473703</v>
      </c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2.5" x14ac:dyDescent="0.25">
      <c r="A48" s="5">
        <v>28</v>
      </c>
      <c r="B48" s="5">
        <f>MAX(Hit!B48,Stand!B48,Double!B48)</f>
        <v>0.12174190222088771</v>
      </c>
      <c r="C48" s="5">
        <f>MAX(Hit!C48,Stand!C48,Double!C48)</f>
        <v>0.14830007284131114</v>
      </c>
      <c r="D48" s="5">
        <f>MAX(Hit!D48,Stand!D48,Double!D48)</f>
        <v>0.17585443719748528</v>
      </c>
      <c r="E48" s="5">
        <f>MAX(Hit!E48,Stand!E48,Double!E48)</f>
        <v>0.19956119497617719</v>
      </c>
      <c r="F48" s="5">
        <f>MAX(Hit!F48,Stand!F48,Double!F48)</f>
        <v>0.28344391604689867</v>
      </c>
      <c r="G48" s="5">
        <f>MAX(Hit!G48,Stand!G48,Double!G48)</f>
        <v>0.3995541673365518</v>
      </c>
      <c r="H48" s="5">
        <f>MAX(Hit!H48,Stand!H48,Double!H48)</f>
        <v>0.10595134861912359</v>
      </c>
      <c r="I48" s="5">
        <f>MAX(Hit!I48,Stand!I48,Double!I48)</f>
        <v>-0.18316335667343342</v>
      </c>
      <c r="J48" s="5">
        <f>MAX(Hit!J48,Stand!J48,Double!J48)</f>
        <v>-0.17830123379648949</v>
      </c>
      <c r="K48" s="5">
        <f>MAX(Hit!K48,Stand!K48,Double!K48)</f>
        <v>-0.10019887561319057</v>
      </c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2.5" x14ac:dyDescent="0.25">
      <c r="A49" s="5">
        <v>29</v>
      </c>
      <c r="B49" s="5">
        <f>MAX(Hit!B49,Stand!B49,Double!B49)</f>
        <v>0.38630468602058993</v>
      </c>
      <c r="C49" s="5">
        <f>MAX(Hit!C49,Stand!C49,Double!C49)</f>
        <v>0.4043629365977599</v>
      </c>
      <c r="D49" s="5">
        <f>MAX(Hit!D49,Stand!D49,Double!D49)</f>
        <v>0.42317892482749653</v>
      </c>
      <c r="E49" s="5">
        <f>MAX(Hit!E49,Stand!E49,Double!E49)</f>
        <v>0.43951210416088371</v>
      </c>
      <c r="F49" s="5">
        <f>MAX(Hit!F49,Stand!F49,Double!F49)</f>
        <v>0.49597707378731926</v>
      </c>
      <c r="G49" s="5">
        <f>MAX(Hit!G49,Stand!G49,Double!G49)</f>
        <v>0.6159764957534315</v>
      </c>
      <c r="H49" s="5">
        <f>MAX(Hit!H49,Stand!H49,Double!H49)</f>
        <v>0.59385366828669439</v>
      </c>
      <c r="I49" s="5">
        <f>MAX(Hit!I49,Stand!I49,Double!I49)</f>
        <v>0.28759675706758148</v>
      </c>
      <c r="J49" s="5">
        <f>MAX(Hit!J49,Stand!J49,Double!J49)</f>
        <v>6.3118166335840831E-2</v>
      </c>
      <c r="K49" s="5">
        <f>MAX(Hit!K49,Stand!K49,Double!K49)</f>
        <v>0.27763572376835594</v>
      </c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2.5" x14ac:dyDescent="0.25">
      <c r="A50" s="5">
        <v>30</v>
      </c>
      <c r="B50" s="5">
        <f>MAX(Hit!B50,Stand!B50,Double!B50)</f>
        <v>0.63998657521683877</v>
      </c>
      <c r="C50" s="5">
        <f>MAX(Hit!C50,Stand!C50,Double!C50)</f>
        <v>0.65027209425148136</v>
      </c>
      <c r="D50" s="5">
        <f>MAX(Hit!D50,Stand!D50,Double!D50)</f>
        <v>0.66104996194807186</v>
      </c>
      <c r="E50" s="5">
        <f>MAX(Hit!E50,Stand!E50,Double!E50)</f>
        <v>0.67035969063279999</v>
      </c>
      <c r="F50" s="5">
        <f>MAX(Hit!F50,Stand!F50,Double!F50)</f>
        <v>0.70395857017134467</v>
      </c>
      <c r="G50" s="5">
        <f>MAX(Hit!G50,Stand!G50,Double!G50)</f>
        <v>0.77322722653717491</v>
      </c>
      <c r="H50" s="5">
        <f>MAX(Hit!H50,Stand!H50,Double!H50)</f>
        <v>0.79181515955189841</v>
      </c>
      <c r="I50" s="5">
        <f>MAX(Hit!I50,Stand!I50,Double!I50)</f>
        <v>0.75835687080859615</v>
      </c>
      <c r="J50" s="5">
        <f>MAX(Hit!J50,Stand!J50,Double!J50)</f>
        <v>0.55453756646817121</v>
      </c>
      <c r="K50" s="5">
        <f>MAX(Hit!K50,Stand!K50,Double!K50)</f>
        <v>0.65547032314990239</v>
      </c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2.5" x14ac:dyDescent="0.25">
      <c r="A51" s="5">
        <v>31</v>
      </c>
      <c r="B51" s="5">
        <f>MAX(Hit!B51,Stand!B51,Double!B51)</f>
        <v>0.88200651549403997</v>
      </c>
      <c r="C51" s="5">
        <f>MAX(Hit!C51,Stand!C51,Double!C51)</f>
        <v>0.88530035730174927</v>
      </c>
      <c r="D51" s="5">
        <f>MAX(Hit!D51,Stand!D51,Double!D51)</f>
        <v>0.88876729296591961</v>
      </c>
      <c r="E51" s="5">
        <f>MAX(Hit!E51,Stand!E51,Double!E51)</f>
        <v>0.89175382659528035</v>
      </c>
      <c r="F51" s="5">
        <f>MAX(Hit!F51,Stand!F51,Double!F51)</f>
        <v>0.90283674384258006</v>
      </c>
      <c r="G51" s="5">
        <f>MAX(Hit!G51,Stand!G51,Double!G51)</f>
        <v>0.92592629596452325</v>
      </c>
      <c r="H51" s="5">
        <f>MAX(Hit!H51,Stand!H51,Double!H51)</f>
        <v>0.93060505318396614</v>
      </c>
      <c r="I51" s="5">
        <f>MAX(Hit!I51,Stand!I51,Double!I51)</f>
        <v>0.93917615614724415</v>
      </c>
      <c r="J51" s="5">
        <f>MAX(Hit!J51,Stand!J51,Double!J51)</f>
        <v>0.96262363326716827</v>
      </c>
      <c r="K51" s="5">
        <f>MAX(Hit!K51,Stand!K51,Double!K51)</f>
        <v>0.92219381142033785</v>
      </c>
      <c r="N51" s="2"/>
      <c r="O51" s="2"/>
      <c r="P51" s="2"/>
      <c r="Q51" s="2"/>
      <c r="R51" s="2"/>
      <c r="S51" s="2"/>
      <c r="T51" s="2"/>
      <c r="U51" s="2"/>
      <c r="V51" s="2"/>
      <c r="W51" s="2"/>
    </row>
  </sheetData>
  <conditionalFormatting sqref="N1:W51">
    <cfRule type="containsText" dxfId="8" priority="1" operator="containsText" text="H">
      <formula>NOT(ISERROR(SEARCH(("H"),(N1))))</formula>
    </cfRule>
    <cfRule type="containsText" dxfId="7" priority="2" operator="containsText" text="S">
      <formula>NOT(ISERROR(SEARCH(("S"),(N1))))</formula>
    </cfRule>
    <cfRule type="containsText" dxfId="6" priority="3" operator="containsText" text="D">
      <formula>NOT(ISERROR(SEARCH(("D"),(N1))))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51"/>
  <sheetViews>
    <sheetView workbookViewId="0"/>
  </sheetViews>
  <sheetFormatPr defaultColWidth="12.6328125" defaultRowHeight="15.75" customHeight="1" x14ac:dyDescent="0.25"/>
  <sheetData>
    <row r="1" spans="1:11" ht="15.75" customHeight="1" x14ac:dyDescent="0.25">
      <c r="A1" s="5" t="s">
        <v>1</v>
      </c>
      <c r="B1" s="5">
        <v>2</v>
      </c>
      <c r="C1" s="5">
        <v>3</v>
      </c>
      <c r="D1" s="5">
        <v>4</v>
      </c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 t="s">
        <v>2</v>
      </c>
    </row>
    <row r="2" spans="1:11" ht="15.75" customHeight="1" x14ac:dyDescent="0.25">
      <c r="A2" s="5">
        <v>4</v>
      </c>
      <c r="B2" s="5">
        <v>-0.5</v>
      </c>
      <c r="C2" s="5">
        <v>-0.5</v>
      </c>
      <c r="D2" s="5">
        <v>-0.5</v>
      </c>
      <c r="E2" s="5">
        <v>-0.5</v>
      </c>
      <c r="F2" s="5">
        <v>-0.5</v>
      </c>
      <c r="G2" s="5">
        <v>-0.5</v>
      </c>
      <c r="H2" s="5">
        <v>-0.5</v>
      </c>
      <c r="I2" s="5">
        <v>-0.5</v>
      </c>
      <c r="J2" s="5">
        <v>-0.5</v>
      </c>
      <c r="K2" s="5">
        <v>-0.5</v>
      </c>
    </row>
    <row r="3" spans="1:11" ht="15.75" customHeight="1" x14ac:dyDescent="0.25">
      <c r="A3" s="5">
        <v>5</v>
      </c>
      <c r="B3" s="5">
        <f t="shared" ref="B3:K3" si="0">B2</f>
        <v>-0.5</v>
      </c>
      <c r="C3" s="5">
        <f t="shared" si="0"/>
        <v>-0.5</v>
      </c>
      <c r="D3" s="5">
        <f t="shared" si="0"/>
        <v>-0.5</v>
      </c>
      <c r="E3" s="5">
        <f t="shared" si="0"/>
        <v>-0.5</v>
      </c>
      <c r="F3" s="5">
        <f t="shared" si="0"/>
        <v>-0.5</v>
      </c>
      <c r="G3" s="5">
        <f t="shared" si="0"/>
        <v>-0.5</v>
      </c>
      <c r="H3" s="5">
        <f t="shared" si="0"/>
        <v>-0.5</v>
      </c>
      <c r="I3" s="5">
        <f t="shared" si="0"/>
        <v>-0.5</v>
      </c>
      <c r="J3" s="5">
        <f t="shared" si="0"/>
        <v>-0.5</v>
      </c>
      <c r="K3" s="5">
        <f t="shared" si="0"/>
        <v>-0.5</v>
      </c>
    </row>
    <row r="4" spans="1:11" ht="15.75" customHeight="1" x14ac:dyDescent="0.25">
      <c r="A4" s="5">
        <v>6</v>
      </c>
      <c r="B4" s="5">
        <f t="shared" ref="B4:K4" si="1">B3</f>
        <v>-0.5</v>
      </c>
      <c r="C4" s="5">
        <f t="shared" si="1"/>
        <v>-0.5</v>
      </c>
      <c r="D4" s="5">
        <f t="shared" si="1"/>
        <v>-0.5</v>
      </c>
      <c r="E4" s="5">
        <f t="shared" si="1"/>
        <v>-0.5</v>
      </c>
      <c r="F4" s="5">
        <f t="shared" si="1"/>
        <v>-0.5</v>
      </c>
      <c r="G4" s="5">
        <f t="shared" si="1"/>
        <v>-0.5</v>
      </c>
      <c r="H4" s="5">
        <f t="shared" si="1"/>
        <v>-0.5</v>
      </c>
      <c r="I4" s="5">
        <f t="shared" si="1"/>
        <v>-0.5</v>
      </c>
      <c r="J4" s="5">
        <f t="shared" si="1"/>
        <v>-0.5</v>
      </c>
      <c r="K4" s="5">
        <f t="shared" si="1"/>
        <v>-0.5</v>
      </c>
    </row>
    <row r="5" spans="1:11" ht="15.75" customHeight="1" x14ac:dyDescent="0.25">
      <c r="A5" s="5">
        <v>7</v>
      </c>
      <c r="B5" s="5">
        <f t="shared" ref="B5:K5" si="2">B4</f>
        <v>-0.5</v>
      </c>
      <c r="C5" s="5">
        <f t="shared" si="2"/>
        <v>-0.5</v>
      </c>
      <c r="D5" s="5">
        <f t="shared" si="2"/>
        <v>-0.5</v>
      </c>
      <c r="E5" s="5">
        <f t="shared" si="2"/>
        <v>-0.5</v>
      </c>
      <c r="F5" s="5">
        <f t="shared" si="2"/>
        <v>-0.5</v>
      </c>
      <c r="G5" s="5">
        <f t="shared" si="2"/>
        <v>-0.5</v>
      </c>
      <c r="H5" s="5">
        <f t="shared" si="2"/>
        <v>-0.5</v>
      </c>
      <c r="I5" s="5">
        <f t="shared" si="2"/>
        <v>-0.5</v>
      </c>
      <c r="J5" s="5">
        <f t="shared" si="2"/>
        <v>-0.5</v>
      </c>
      <c r="K5" s="5">
        <f t="shared" si="2"/>
        <v>-0.5</v>
      </c>
    </row>
    <row r="6" spans="1:11" ht="15.75" customHeight="1" x14ac:dyDescent="0.25">
      <c r="A6" s="5">
        <v>8</v>
      </c>
      <c r="B6" s="5">
        <f t="shared" ref="B6:K6" si="3">B5</f>
        <v>-0.5</v>
      </c>
      <c r="C6" s="5">
        <f t="shared" si="3"/>
        <v>-0.5</v>
      </c>
      <c r="D6" s="5">
        <f t="shared" si="3"/>
        <v>-0.5</v>
      </c>
      <c r="E6" s="5">
        <f t="shared" si="3"/>
        <v>-0.5</v>
      </c>
      <c r="F6" s="5">
        <f t="shared" si="3"/>
        <v>-0.5</v>
      </c>
      <c r="G6" s="5">
        <f t="shared" si="3"/>
        <v>-0.5</v>
      </c>
      <c r="H6" s="5">
        <f t="shared" si="3"/>
        <v>-0.5</v>
      </c>
      <c r="I6" s="5">
        <f t="shared" si="3"/>
        <v>-0.5</v>
      </c>
      <c r="J6" s="5">
        <f t="shared" si="3"/>
        <v>-0.5</v>
      </c>
      <c r="K6" s="5">
        <f t="shared" si="3"/>
        <v>-0.5</v>
      </c>
    </row>
    <row r="7" spans="1:11" ht="15.75" customHeight="1" x14ac:dyDescent="0.25">
      <c r="A7" s="5">
        <v>9</v>
      </c>
      <c r="B7" s="5">
        <f t="shared" ref="B7:K7" si="4">B6</f>
        <v>-0.5</v>
      </c>
      <c r="C7" s="5">
        <f t="shared" si="4"/>
        <v>-0.5</v>
      </c>
      <c r="D7" s="5">
        <f t="shared" si="4"/>
        <v>-0.5</v>
      </c>
      <c r="E7" s="5">
        <f t="shared" si="4"/>
        <v>-0.5</v>
      </c>
      <c r="F7" s="5">
        <f t="shared" si="4"/>
        <v>-0.5</v>
      </c>
      <c r="G7" s="5">
        <f t="shared" si="4"/>
        <v>-0.5</v>
      </c>
      <c r="H7" s="5">
        <f t="shared" si="4"/>
        <v>-0.5</v>
      </c>
      <c r="I7" s="5">
        <f t="shared" si="4"/>
        <v>-0.5</v>
      </c>
      <c r="J7" s="5">
        <f t="shared" si="4"/>
        <v>-0.5</v>
      </c>
      <c r="K7" s="5">
        <f t="shared" si="4"/>
        <v>-0.5</v>
      </c>
    </row>
    <row r="8" spans="1:11" ht="15.75" customHeight="1" x14ac:dyDescent="0.25">
      <c r="A8" s="5">
        <v>10</v>
      </c>
      <c r="B8" s="5">
        <f t="shared" ref="B8:K8" si="5">B7</f>
        <v>-0.5</v>
      </c>
      <c r="C8" s="5">
        <f t="shared" si="5"/>
        <v>-0.5</v>
      </c>
      <c r="D8" s="5">
        <f t="shared" si="5"/>
        <v>-0.5</v>
      </c>
      <c r="E8" s="5">
        <f t="shared" si="5"/>
        <v>-0.5</v>
      </c>
      <c r="F8" s="5">
        <f t="shared" si="5"/>
        <v>-0.5</v>
      </c>
      <c r="G8" s="5">
        <f t="shared" si="5"/>
        <v>-0.5</v>
      </c>
      <c r="H8" s="5">
        <f t="shared" si="5"/>
        <v>-0.5</v>
      </c>
      <c r="I8" s="5">
        <f t="shared" si="5"/>
        <v>-0.5</v>
      </c>
      <c r="J8" s="5">
        <f t="shared" si="5"/>
        <v>-0.5</v>
      </c>
      <c r="K8" s="5">
        <f t="shared" si="5"/>
        <v>-0.5</v>
      </c>
    </row>
    <row r="9" spans="1:11" ht="15.75" customHeight="1" x14ac:dyDescent="0.25">
      <c r="A9" s="5">
        <v>11</v>
      </c>
      <c r="B9" s="5">
        <f t="shared" ref="B9:K9" si="6">B8</f>
        <v>-0.5</v>
      </c>
      <c r="C9" s="5">
        <f t="shared" si="6"/>
        <v>-0.5</v>
      </c>
      <c r="D9" s="5">
        <f t="shared" si="6"/>
        <v>-0.5</v>
      </c>
      <c r="E9" s="5">
        <f t="shared" si="6"/>
        <v>-0.5</v>
      </c>
      <c r="F9" s="5">
        <f t="shared" si="6"/>
        <v>-0.5</v>
      </c>
      <c r="G9" s="5">
        <f t="shared" si="6"/>
        <v>-0.5</v>
      </c>
      <c r="H9" s="5">
        <f t="shared" si="6"/>
        <v>-0.5</v>
      </c>
      <c r="I9" s="5">
        <f t="shared" si="6"/>
        <v>-0.5</v>
      </c>
      <c r="J9" s="5">
        <f t="shared" si="6"/>
        <v>-0.5</v>
      </c>
      <c r="K9" s="5">
        <f t="shared" si="6"/>
        <v>-0.5</v>
      </c>
    </row>
    <row r="10" spans="1:11" ht="15.75" customHeight="1" x14ac:dyDescent="0.25">
      <c r="A10" s="5">
        <v>12</v>
      </c>
      <c r="B10" s="5">
        <f t="shared" ref="B10:K10" si="7">B9</f>
        <v>-0.5</v>
      </c>
      <c r="C10" s="5">
        <f t="shared" si="7"/>
        <v>-0.5</v>
      </c>
      <c r="D10" s="5">
        <f t="shared" si="7"/>
        <v>-0.5</v>
      </c>
      <c r="E10" s="5">
        <f t="shared" si="7"/>
        <v>-0.5</v>
      </c>
      <c r="F10" s="5">
        <f t="shared" si="7"/>
        <v>-0.5</v>
      </c>
      <c r="G10" s="5">
        <f t="shared" si="7"/>
        <v>-0.5</v>
      </c>
      <c r="H10" s="5">
        <f t="shared" si="7"/>
        <v>-0.5</v>
      </c>
      <c r="I10" s="5">
        <f t="shared" si="7"/>
        <v>-0.5</v>
      </c>
      <c r="J10" s="5">
        <f t="shared" si="7"/>
        <v>-0.5</v>
      </c>
      <c r="K10" s="5">
        <f t="shared" si="7"/>
        <v>-0.5</v>
      </c>
    </row>
    <row r="11" spans="1:11" ht="15.75" customHeight="1" x14ac:dyDescent="0.25">
      <c r="A11" s="5">
        <v>13</v>
      </c>
      <c r="B11" s="5">
        <f t="shared" ref="B11:K11" si="8">B10</f>
        <v>-0.5</v>
      </c>
      <c r="C11" s="5">
        <f t="shared" si="8"/>
        <v>-0.5</v>
      </c>
      <c r="D11" s="5">
        <f t="shared" si="8"/>
        <v>-0.5</v>
      </c>
      <c r="E11" s="5">
        <f t="shared" si="8"/>
        <v>-0.5</v>
      </c>
      <c r="F11" s="5">
        <f t="shared" si="8"/>
        <v>-0.5</v>
      </c>
      <c r="G11" s="5">
        <f t="shared" si="8"/>
        <v>-0.5</v>
      </c>
      <c r="H11" s="5">
        <f t="shared" si="8"/>
        <v>-0.5</v>
      </c>
      <c r="I11" s="5">
        <f t="shared" si="8"/>
        <v>-0.5</v>
      </c>
      <c r="J11" s="5">
        <f t="shared" si="8"/>
        <v>-0.5</v>
      </c>
      <c r="K11" s="5">
        <f t="shared" si="8"/>
        <v>-0.5</v>
      </c>
    </row>
    <row r="12" spans="1:11" ht="15.75" customHeight="1" x14ac:dyDescent="0.25">
      <c r="A12" s="5">
        <v>14</v>
      </c>
      <c r="B12" s="5">
        <f t="shared" ref="B12:K12" si="9">B11</f>
        <v>-0.5</v>
      </c>
      <c r="C12" s="5">
        <f t="shared" si="9"/>
        <v>-0.5</v>
      </c>
      <c r="D12" s="5">
        <f t="shared" si="9"/>
        <v>-0.5</v>
      </c>
      <c r="E12" s="5">
        <f t="shared" si="9"/>
        <v>-0.5</v>
      </c>
      <c r="F12" s="5">
        <f t="shared" si="9"/>
        <v>-0.5</v>
      </c>
      <c r="G12" s="5">
        <f t="shared" si="9"/>
        <v>-0.5</v>
      </c>
      <c r="H12" s="5">
        <f t="shared" si="9"/>
        <v>-0.5</v>
      </c>
      <c r="I12" s="5">
        <f t="shared" si="9"/>
        <v>-0.5</v>
      </c>
      <c r="J12" s="5">
        <f t="shared" si="9"/>
        <v>-0.5</v>
      </c>
      <c r="K12" s="5">
        <f t="shared" si="9"/>
        <v>-0.5</v>
      </c>
    </row>
    <row r="13" spans="1:11" ht="15.75" customHeight="1" x14ac:dyDescent="0.25">
      <c r="A13" s="5">
        <v>15</v>
      </c>
      <c r="B13" s="5">
        <f t="shared" ref="B13:K13" si="10">B12</f>
        <v>-0.5</v>
      </c>
      <c r="C13" s="5">
        <f t="shared" si="10"/>
        <v>-0.5</v>
      </c>
      <c r="D13" s="5">
        <f t="shared" si="10"/>
        <v>-0.5</v>
      </c>
      <c r="E13" s="5">
        <f t="shared" si="10"/>
        <v>-0.5</v>
      </c>
      <c r="F13" s="5">
        <f t="shared" si="10"/>
        <v>-0.5</v>
      </c>
      <c r="G13" s="5">
        <f t="shared" si="10"/>
        <v>-0.5</v>
      </c>
      <c r="H13" s="5">
        <f t="shared" si="10"/>
        <v>-0.5</v>
      </c>
      <c r="I13" s="5">
        <f t="shared" si="10"/>
        <v>-0.5</v>
      </c>
      <c r="J13" s="5">
        <f t="shared" si="10"/>
        <v>-0.5</v>
      </c>
      <c r="K13" s="5">
        <f t="shared" si="10"/>
        <v>-0.5</v>
      </c>
    </row>
    <row r="14" spans="1:11" ht="15.75" customHeight="1" x14ac:dyDescent="0.25">
      <c r="A14" s="5">
        <v>16</v>
      </c>
      <c r="B14" s="5">
        <f t="shared" ref="B14:K14" si="11">B13</f>
        <v>-0.5</v>
      </c>
      <c r="C14" s="5">
        <f t="shared" si="11"/>
        <v>-0.5</v>
      </c>
      <c r="D14" s="5">
        <f t="shared" si="11"/>
        <v>-0.5</v>
      </c>
      <c r="E14" s="5">
        <f t="shared" si="11"/>
        <v>-0.5</v>
      </c>
      <c r="F14" s="5">
        <f t="shared" si="11"/>
        <v>-0.5</v>
      </c>
      <c r="G14" s="5">
        <f t="shared" si="11"/>
        <v>-0.5</v>
      </c>
      <c r="H14" s="5">
        <f t="shared" si="11"/>
        <v>-0.5</v>
      </c>
      <c r="I14" s="5">
        <f t="shared" si="11"/>
        <v>-0.5</v>
      </c>
      <c r="J14" s="5">
        <f t="shared" si="11"/>
        <v>-0.5</v>
      </c>
      <c r="K14" s="5">
        <f t="shared" si="11"/>
        <v>-0.5</v>
      </c>
    </row>
    <row r="15" spans="1:11" ht="15.75" customHeight="1" x14ac:dyDescent="0.25">
      <c r="A15" s="5">
        <v>17</v>
      </c>
      <c r="B15" s="5">
        <f t="shared" ref="B15:K15" si="12">B14</f>
        <v>-0.5</v>
      </c>
      <c r="C15" s="5">
        <f t="shared" si="12"/>
        <v>-0.5</v>
      </c>
      <c r="D15" s="5">
        <f t="shared" si="12"/>
        <v>-0.5</v>
      </c>
      <c r="E15" s="5">
        <f t="shared" si="12"/>
        <v>-0.5</v>
      </c>
      <c r="F15" s="5">
        <f t="shared" si="12"/>
        <v>-0.5</v>
      </c>
      <c r="G15" s="5">
        <f t="shared" si="12"/>
        <v>-0.5</v>
      </c>
      <c r="H15" s="5">
        <f t="shared" si="12"/>
        <v>-0.5</v>
      </c>
      <c r="I15" s="5">
        <f t="shared" si="12"/>
        <v>-0.5</v>
      </c>
      <c r="J15" s="5">
        <f t="shared" si="12"/>
        <v>-0.5</v>
      </c>
      <c r="K15" s="5">
        <f t="shared" si="12"/>
        <v>-0.5</v>
      </c>
    </row>
    <row r="16" spans="1:11" ht="15.75" customHeight="1" x14ac:dyDescent="0.25">
      <c r="A16" s="5">
        <v>18</v>
      </c>
      <c r="B16" s="5">
        <f t="shared" ref="B16:K16" si="13">B15</f>
        <v>-0.5</v>
      </c>
      <c r="C16" s="5">
        <f t="shared" si="13"/>
        <v>-0.5</v>
      </c>
      <c r="D16" s="5">
        <f t="shared" si="13"/>
        <v>-0.5</v>
      </c>
      <c r="E16" s="5">
        <f t="shared" si="13"/>
        <v>-0.5</v>
      </c>
      <c r="F16" s="5">
        <f t="shared" si="13"/>
        <v>-0.5</v>
      </c>
      <c r="G16" s="5">
        <f t="shared" si="13"/>
        <v>-0.5</v>
      </c>
      <c r="H16" s="5">
        <f t="shared" si="13"/>
        <v>-0.5</v>
      </c>
      <c r="I16" s="5">
        <f t="shared" si="13"/>
        <v>-0.5</v>
      </c>
      <c r="J16" s="5">
        <f t="shared" si="13"/>
        <v>-0.5</v>
      </c>
      <c r="K16" s="5">
        <f t="shared" si="13"/>
        <v>-0.5</v>
      </c>
    </row>
    <row r="17" spans="1:11" ht="15.75" customHeight="1" x14ac:dyDescent="0.25">
      <c r="A17" s="5">
        <v>19</v>
      </c>
      <c r="B17" s="5">
        <f t="shared" ref="B17:K17" si="14">B16</f>
        <v>-0.5</v>
      </c>
      <c r="C17" s="5">
        <f t="shared" si="14"/>
        <v>-0.5</v>
      </c>
      <c r="D17" s="5">
        <f t="shared" si="14"/>
        <v>-0.5</v>
      </c>
      <c r="E17" s="5">
        <f t="shared" si="14"/>
        <v>-0.5</v>
      </c>
      <c r="F17" s="5">
        <f t="shared" si="14"/>
        <v>-0.5</v>
      </c>
      <c r="G17" s="5">
        <f t="shared" si="14"/>
        <v>-0.5</v>
      </c>
      <c r="H17" s="5">
        <f t="shared" si="14"/>
        <v>-0.5</v>
      </c>
      <c r="I17" s="5">
        <f t="shared" si="14"/>
        <v>-0.5</v>
      </c>
      <c r="J17" s="5">
        <f t="shared" si="14"/>
        <v>-0.5</v>
      </c>
      <c r="K17" s="5">
        <f t="shared" si="14"/>
        <v>-0.5</v>
      </c>
    </row>
    <row r="18" spans="1:11" ht="15.75" customHeight="1" x14ac:dyDescent="0.25">
      <c r="A18" s="5">
        <v>20</v>
      </c>
      <c r="B18" s="5">
        <f t="shared" ref="B18:K18" si="15">B17</f>
        <v>-0.5</v>
      </c>
      <c r="C18" s="5">
        <f t="shared" si="15"/>
        <v>-0.5</v>
      </c>
      <c r="D18" s="5">
        <f t="shared" si="15"/>
        <v>-0.5</v>
      </c>
      <c r="E18" s="5">
        <f t="shared" si="15"/>
        <v>-0.5</v>
      </c>
      <c r="F18" s="5">
        <f t="shared" si="15"/>
        <v>-0.5</v>
      </c>
      <c r="G18" s="5">
        <f t="shared" si="15"/>
        <v>-0.5</v>
      </c>
      <c r="H18" s="5">
        <f t="shared" si="15"/>
        <v>-0.5</v>
      </c>
      <c r="I18" s="5">
        <f t="shared" si="15"/>
        <v>-0.5</v>
      </c>
      <c r="J18" s="5">
        <f t="shared" si="15"/>
        <v>-0.5</v>
      </c>
      <c r="K18" s="5">
        <f t="shared" si="15"/>
        <v>-0.5</v>
      </c>
    </row>
    <row r="19" spans="1:11" ht="15.75" customHeight="1" x14ac:dyDescent="0.25">
      <c r="A19" s="5">
        <v>21</v>
      </c>
      <c r="B19" s="5">
        <f t="shared" ref="B19:K19" si="16">B18</f>
        <v>-0.5</v>
      </c>
      <c r="C19" s="5">
        <f t="shared" si="16"/>
        <v>-0.5</v>
      </c>
      <c r="D19" s="5">
        <f t="shared" si="16"/>
        <v>-0.5</v>
      </c>
      <c r="E19" s="5">
        <f t="shared" si="16"/>
        <v>-0.5</v>
      </c>
      <c r="F19" s="5">
        <f t="shared" si="16"/>
        <v>-0.5</v>
      </c>
      <c r="G19" s="5">
        <f t="shared" si="16"/>
        <v>-0.5</v>
      </c>
      <c r="H19" s="5">
        <f t="shared" si="16"/>
        <v>-0.5</v>
      </c>
      <c r="I19" s="5">
        <f t="shared" si="16"/>
        <v>-0.5</v>
      </c>
      <c r="J19" s="5">
        <f t="shared" si="16"/>
        <v>-0.5</v>
      </c>
      <c r="K19" s="5">
        <f t="shared" si="16"/>
        <v>-0.5</v>
      </c>
    </row>
    <row r="20" spans="1:11" ht="12.5" x14ac:dyDescent="0.25">
      <c r="A20" s="5">
        <v>22</v>
      </c>
      <c r="B20" s="5">
        <v>-1</v>
      </c>
      <c r="C20" s="5">
        <v>-1</v>
      </c>
      <c r="D20" s="5">
        <v>-1</v>
      </c>
      <c r="E20" s="5">
        <v>-1</v>
      </c>
      <c r="F20" s="5">
        <v>-1</v>
      </c>
      <c r="G20" s="5">
        <v>-1</v>
      </c>
      <c r="H20" s="5">
        <v>-1</v>
      </c>
      <c r="I20" s="5">
        <v>-1</v>
      </c>
      <c r="J20" s="5">
        <v>-1</v>
      </c>
      <c r="K20" s="5">
        <v>-1</v>
      </c>
    </row>
    <row r="21" spans="1:11" ht="12.5" x14ac:dyDescent="0.25">
      <c r="A21" s="5">
        <v>23</v>
      </c>
      <c r="B21" s="5">
        <v>-1</v>
      </c>
      <c r="C21" s="5">
        <v>-1</v>
      </c>
      <c r="D21" s="5">
        <v>-1</v>
      </c>
      <c r="E21" s="5">
        <v>-1</v>
      </c>
      <c r="F21" s="5">
        <v>-1</v>
      </c>
      <c r="G21" s="5">
        <v>-1</v>
      </c>
      <c r="H21" s="5">
        <v>-1</v>
      </c>
      <c r="I21" s="5">
        <v>-1</v>
      </c>
      <c r="J21" s="5">
        <v>-1</v>
      </c>
      <c r="K21" s="5">
        <v>-1</v>
      </c>
    </row>
    <row r="22" spans="1:11" ht="12.5" x14ac:dyDescent="0.25">
      <c r="A22" s="5">
        <v>24</v>
      </c>
      <c r="B22" s="5">
        <v>-1</v>
      </c>
      <c r="C22" s="5">
        <v>-1</v>
      </c>
      <c r="D22" s="5">
        <v>-1</v>
      </c>
      <c r="E22" s="5">
        <v>-1</v>
      </c>
      <c r="F22" s="5">
        <v>-1</v>
      </c>
      <c r="G22" s="5">
        <v>-1</v>
      </c>
      <c r="H22" s="5">
        <v>-1</v>
      </c>
      <c r="I22" s="5">
        <v>-1</v>
      </c>
      <c r="J22" s="5">
        <v>-1</v>
      </c>
      <c r="K22" s="5">
        <v>-1</v>
      </c>
    </row>
    <row r="23" spans="1:11" ht="12.5" x14ac:dyDescent="0.25">
      <c r="A23" s="5">
        <v>25</v>
      </c>
      <c r="B23" s="5">
        <v>-1</v>
      </c>
      <c r="C23" s="5">
        <v>-1</v>
      </c>
      <c r="D23" s="5">
        <v>-1</v>
      </c>
      <c r="E23" s="5">
        <v>-1</v>
      </c>
      <c r="F23" s="5">
        <v>-1</v>
      </c>
      <c r="G23" s="5">
        <v>-1</v>
      </c>
      <c r="H23" s="5">
        <v>-1</v>
      </c>
      <c r="I23" s="5">
        <v>-1</v>
      </c>
      <c r="J23" s="5">
        <v>-1</v>
      </c>
      <c r="K23" s="5">
        <v>-1</v>
      </c>
    </row>
    <row r="24" spans="1:11" ht="12.5" x14ac:dyDescent="0.25">
      <c r="A24" s="5">
        <v>26</v>
      </c>
      <c r="B24" s="5">
        <v>-1</v>
      </c>
      <c r="C24" s="5">
        <v>-1</v>
      </c>
      <c r="D24" s="5">
        <v>-1</v>
      </c>
      <c r="E24" s="5">
        <v>-1</v>
      </c>
      <c r="F24" s="5">
        <v>-1</v>
      </c>
      <c r="G24" s="5">
        <v>-1</v>
      </c>
      <c r="H24" s="5">
        <v>-1</v>
      </c>
      <c r="I24" s="5">
        <v>-1</v>
      </c>
      <c r="J24" s="5">
        <v>-1</v>
      </c>
      <c r="K24" s="5">
        <v>-1</v>
      </c>
    </row>
    <row r="25" spans="1:11" ht="12.5" x14ac:dyDescent="0.25">
      <c r="A25" s="5">
        <v>27</v>
      </c>
      <c r="B25" s="5">
        <v>-1</v>
      </c>
      <c r="C25" s="5">
        <v>-1</v>
      </c>
      <c r="D25" s="5">
        <v>-1</v>
      </c>
      <c r="E25" s="5">
        <v>-1</v>
      </c>
      <c r="F25" s="5">
        <v>-1</v>
      </c>
      <c r="G25" s="5">
        <v>-1</v>
      </c>
      <c r="H25" s="5">
        <v>-1</v>
      </c>
      <c r="I25" s="5">
        <v>-1</v>
      </c>
      <c r="J25" s="5">
        <v>-1</v>
      </c>
      <c r="K25" s="5">
        <v>-1</v>
      </c>
    </row>
    <row r="26" spans="1:11" ht="12.5" x14ac:dyDescent="0.25">
      <c r="A26" s="5">
        <v>28</v>
      </c>
      <c r="B26" s="5">
        <v>-1</v>
      </c>
      <c r="C26" s="5">
        <v>-1</v>
      </c>
      <c r="D26" s="5">
        <v>-1</v>
      </c>
      <c r="E26" s="5">
        <v>-1</v>
      </c>
      <c r="F26" s="5">
        <v>-1</v>
      </c>
      <c r="G26" s="5">
        <v>-1</v>
      </c>
      <c r="H26" s="5">
        <v>-1</v>
      </c>
      <c r="I26" s="5">
        <v>-1</v>
      </c>
      <c r="J26" s="5">
        <v>-1</v>
      </c>
      <c r="K26" s="5">
        <v>-1</v>
      </c>
    </row>
    <row r="27" spans="1:11" ht="12.5" x14ac:dyDescent="0.25">
      <c r="A27" s="5">
        <v>29</v>
      </c>
      <c r="B27" s="5">
        <v>-1</v>
      </c>
      <c r="C27" s="5">
        <v>-1</v>
      </c>
      <c r="D27" s="5">
        <v>-1</v>
      </c>
      <c r="E27" s="5">
        <v>-1</v>
      </c>
      <c r="F27" s="5">
        <v>-1</v>
      </c>
      <c r="G27" s="5">
        <v>-1</v>
      </c>
      <c r="H27" s="5">
        <v>-1</v>
      </c>
      <c r="I27" s="5">
        <v>-1</v>
      </c>
      <c r="J27" s="5">
        <v>-1</v>
      </c>
      <c r="K27" s="5">
        <v>-1</v>
      </c>
    </row>
    <row r="28" spans="1:11" ht="12.5" x14ac:dyDescent="0.25">
      <c r="A28" s="5">
        <v>30</v>
      </c>
      <c r="B28" s="5">
        <v>-1</v>
      </c>
      <c r="C28" s="5">
        <v>-1</v>
      </c>
      <c r="D28" s="5">
        <v>-1</v>
      </c>
      <c r="E28" s="5">
        <v>-1</v>
      </c>
      <c r="F28" s="5">
        <v>-1</v>
      </c>
      <c r="G28" s="5">
        <v>-1</v>
      </c>
      <c r="H28" s="5">
        <v>-1</v>
      </c>
      <c r="I28" s="5">
        <v>-1</v>
      </c>
      <c r="J28" s="5">
        <v>-1</v>
      </c>
      <c r="K28" s="5">
        <v>-1</v>
      </c>
    </row>
    <row r="29" spans="1:11" ht="12.5" x14ac:dyDescent="0.25">
      <c r="A29" s="5">
        <v>31</v>
      </c>
      <c r="B29" s="5">
        <v>-1</v>
      </c>
      <c r="C29" s="5">
        <v>-1</v>
      </c>
      <c r="D29" s="5">
        <v>-1</v>
      </c>
      <c r="E29" s="5">
        <v>-1</v>
      </c>
      <c r="F29" s="5">
        <v>-1</v>
      </c>
      <c r="G29" s="5">
        <v>-1</v>
      </c>
      <c r="H29" s="5">
        <v>-1</v>
      </c>
      <c r="I29" s="5">
        <v>-1</v>
      </c>
      <c r="J29" s="5">
        <v>-1</v>
      </c>
      <c r="K29" s="5">
        <v>-1</v>
      </c>
    </row>
    <row r="31" spans="1:11" ht="12.5" x14ac:dyDescent="0.25">
      <c r="A31" s="5" t="s">
        <v>6</v>
      </c>
    </row>
    <row r="32" spans="1:11" ht="12.5" x14ac:dyDescent="0.25">
      <c r="A32" s="5">
        <v>12</v>
      </c>
      <c r="B32" s="5">
        <f t="shared" ref="B32:K32" si="17">B10</f>
        <v>-0.5</v>
      </c>
      <c r="C32" s="5">
        <f t="shared" si="17"/>
        <v>-0.5</v>
      </c>
      <c r="D32" s="5">
        <f t="shared" si="17"/>
        <v>-0.5</v>
      </c>
      <c r="E32" s="5">
        <f t="shared" si="17"/>
        <v>-0.5</v>
      </c>
      <c r="F32" s="5">
        <f t="shared" si="17"/>
        <v>-0.5</v>
      </c>
      <c r="G32" s="5">
        <f t="shared" si="17"/>
        <v>-0.5</v>
      </c>
      <c r="H32" s="5">
        <f t="shared" si="17"/>
        <v>-0.5</v>
      </c>
      <c r="I32" s="5">
        <f t="shared" si="17"/>
        <v>-0.5</v>
      </c>
      <c r="J32" s="5">
        <f t="shared" si="17"/>
        <v>-0.5</v>
      </c>
      <c r="K32" s="5">
        <f t="shared" si="17"/>
        <v>-0.5</v>
      </c>
    </row>
    <row r="33" spans="1:11" ht="12.5" x14ac:dyDescent="0.25">
      <c r="A33" s="5">
        <v>13</v>
      </c>
      <c r="B33" s="5">
        <f t="shared" ref="B33:K33" si="18">B11</f>
        <v>-0.5</v>
      </c>
      <c r="C33" s="5">
        <f t="shared" si="18"/>
        <v>-0.5</v>
      </c>
      <c r="D33" s="5">
        <f t="shared" si="18"/>
        <v>-0.5</v>
      </c>
      <c r="E33" s="5">
        <f t="shared" si="18"/>
        <v>-0.5</v>
      </c>
      <c r="F33" s="5">
        <f t="shared" si="18"/>
        <v>-0.5</v>
      </c>
      <c r="G33" s="5">
        <f t="shared" si="18"/>
        <v>-0.5</v>
      </c>
      <c r="H33" s="5">
        <f t="shared" si="18"/>
        <v>-0.5</v>
      </c>
      <c r="I33" s="5">
        <f t="shared" si="18"/>
        <v>-0.5</v>
      </c>
      <c r="J33" s="5">
        <f t="shared" si="18"/>
        <v>-0.5</v>
      </c>
      <c r="K33" s="5">
        <f t="shared" si="18"/>
        <v>-0.5</v>
      </c>
    </row>
    <row r="34" spans="1:11" ht="12.5" x14ac:dyDescent="0.25">
      <c r="A34" s="5">
        <v>14</v>
      </c>
      <c r="B34" s="5">
        <f t="shared" ref="B34:K34" si="19">B12</f>
        <v>-0.5</v>
      </c>
      <c r="C34" s="5">
        <f t="shared" si="19"/>
        <v>-0.5</v>
      </c>
      <c r="D34" s="5">
        <f t="shared" si="19"/>
        <v>-0.5</v>
      </c>
      <c r="E34" s="5">
        <f t="shared" si="19"/>
        <v>-0.5</v>
      </c>
      <c r="F34" s="5">
        <f t="shared" si="19"/>
        <v>-0.5</v>
      </c>
      <c r="G34" s="5">
        <f t="shared" si="19"/>
        <v>-0.5</v>
      </c>
      <c r="H34" s="5">
        <f t="shared" si="19"/>
        <v>-0.5</v>
      </c>
      <c r="I34" s="5">
        <f t="shared" si="19"/>
        <v>-0.5</v>
      </c>
      <c r="J34" s="5">
        <f t="shared" si="19"/>
        <v>-0.5</v>
      </c>
      <c r="K34" s="5">
        <f t="shared" si="19"/>
        <v>-0.5</v>
      </c>
    </row>
    <row r="35" spans="1:11" ht="12.5" x14ac:dyDescent="0.25">
      <c r="A35" s="5">
        <v>15</v>
      </c>
      <c r="B35" s="5">
        <f t="shared" ref="B35:K35" si="20">B13</f>
        <v>-0.5</v>
      </c>
      <c r="C35" s="5">
        <f t="shared" si="20"/>
        <v>-0.5</v>
      </c>
      <c r="D35" s="5">
        <f t="shared" si="20"/>
        <v>-0.5</v>
      </c>
      <c r="E35" s="5">
        <f t="shared" si="20"/>
        <v>-0.5</v>
      </c>
      <c r="F35" s="5">
        <f t="shared" si="20"/>
        <v>-0.5</v>
      </c>
      <c r="G35" s="5">
        <f t="shared" si="20"/>
        <v>-0.5</v>
      </c>
      <c r="H35" s="5">
        <f t="shared" si="20"/>
        <v>-0.5</v>
      </c>
      <c r="I35" s="5">
        <f t="shared" si="20"/>
        <v>-0.5</v>
      </c>
      <c r="J35" s="5">
        <f t="shared" si="20"/>
        <v>-0.5</v>
      </c>
      <c r="K35" s="5">
        <f t="shared" si="20"/>
        <v>-0.5</v>
      </c>
    </row>
    <row r="36" spans="1:11" ht="12.5" x14ac:dyDescent="0.25">
      <c r="A36" s="5">
        <v>16</v>
      </c>
      <c r="B36" s="5">
        <f t="shared" ref="B36:K36" si="21">B14</f>
        <v>-0.5</v>
      </c>
      <c r="C36" s="5">
        <f t="shared" si="21"/>
        <v>-0.5</v>
      </c>
      <c r="D36" s="5">
        <f t="shared" si="21"/>
        <v>-0.5</v>
      </c>
      <c r="E36" s="5">
        <f t="shared" si="21"/>
        <v>-0.5</v>
      </c>
      <c r="F36" s="5">
        <f t="shared" si="21"/>
        <v>-0.5</v>
      </c>
      <c r="G36" s="5">
        <f t="shared" si="21"/>
        <v>-0.5</v>
      </c>
      <c r="H36" s="5">
        <f t="shared" si="21"/>
        <v>-0.5</v>
      </c>
      <c r="I36" s="5">
        <f t="shared" si="21"/>
        <v>-0.5</v>
      </c>
      <c r="J36" s="5">
        <f t="shared" si="21"/>
        <v>-0.5</v>
      </c>
      <c r="K36" s="5">
        <f t="shared" si="21"/>
        <v>-0.5</v>
      </c>
    </row>
    <row r="37" spans="1:11" ht="12.5" x14ac:dyDescent="0.25">
      <c r="A37" s="5">
        <v>17</v>
      </c>
      <c r="B37" s="5">
        <f t="shared" ref="B37:K37" si="22">B15</f>
        <v>-0.5</v>
      </c>
      <c r="C37" s="5">
        <f t="shared" si="22"/>
        <v>-0.5</v>
      </c>
      <c r="D37" s="5">
        <f t="shared" si="22"/>
        <v>-0.5</v>
      </c>
      <c r="E37" s="5">
        <f t="shared" si="22"/>
        <v>-0.5</v>
      </c>
      <c r="F37" s="5">
        <f t="shared" si="22"/>
        <v>-0.5</v>
      </c>
      <c r="G37" s="5">
        <f t="shared" si="22"/>
        <v>-0.5</v>
      </c>
      <c r="H37" s="5">
        <f t="shared" si="22"/>
        <v>-0.5</v>
      </c>
      <c r="I37" s="5">
        <f t="shared" si="22"/>
        <v>-0.5</v>
      </c>
      <c r="J37" s="5">
        <f t="shared" si="22"/>
        <v>-0.5</v>
      </c>
      <c r="K37" s="5">
        <f t="shared" si="22"/>
        <v>-0.5</v>
      </c>
    </row>
    <row r="38" spans="1:11" ht="12.5" x14ac:dyDescent="0.25">
      <c r="A38" s="5">
        <v>18</v>
      </c>
      <c r="B38" s="5">
        <f t="shared" ref="B38:K38" si="23">B16</f>
        <v>-0.5</v>
      </c>
      <c r="C38" s="5">
        <f t="shared" si="23"/>
        <v>-0.5</v>
      </c>
      <c r="D38" s="5">
        <f t="shared" si="23"/>
        <v>-0.5</v>
      </c>
      <c r="E38" s="5">
        <f t="shared" si="23"/>
        <v>-0.5</v>
      </c>
      <c r="F38" s="5">
        <f t="shared" si="23"/>
        <v>-0.5</v>
      </c>
      <c r="G38" s="5">
        <f t="shared" si="23"/>
        <v>-0.5</v>
      </c>
      <c r="H38" s="5">
        <f t="shared" si="23"/>
        <v>-0.5</v>
      </c>
      <c r="I38" s="5">
        <f t="shared" si="23"/>
        <v>-0.5</v>
      </c>
      <c r="J38" s="5">
        <f t="shared" si="23"/>
        <v>-0.5</v>
      </c>
      <c r="K38" s="5">
        <f t="shared" si="23"/>
        <v>-0.5</v>
      </c>
    </row>
    <row r="39" spans="1:11" ht="12.5" x14ac:dyDescent="0.25">
      <c r="A39" s="5">
        <v>19</v>
      </c>
      <c r="B39" s="5">
        <f t="shared" ref="B39:K39" si="24">B17</f>
        <v>-0.5</v>
      </c>
      <c r="C39" s="5">
        <f t="shared" si="24"/>
        <v>-0.5</v>
      </c>
      <c r="D39" s="5">
        <f t="shared" si="24"/>
        <v>-0.5</v>
      </c>
      <c r="E39" s="5">
        <f t="shared" si="24"/>
        <v>-0.5</v>
      </c>
      <c r="F39" s="5">
        <f t="shared" si="24"/>
        <v>-0.5</v>
      </c>
      <c r="G39" s="5">
        <f t="shared" si="24"/>
        <v>-0.5</v>
      </c>
      <c r="H39" s="5">
        <f t="shared" si="24"/>
        <v>-0.5</v>
      </c>
      <c r="I39" s="5">
        <f t="shared" si="24"/>
        <v>-0.5</v>
      </c>
      <c r="J39" s="5">
        <f t="shared" si="24"/>
        <v>-0.5</v>
      </c>
      <c r="K39" s="5">
        <f t="shared" si="24"/>
        <v>-0.5</v>
      </c>
    </row>
    <row r="40" spans="1:11" ht="12.5" x14ac:dyDescent="0.25">
      <c r="A40" s="5">
        <v>20</v>
      </c>
      <c r="B40" s="5">
        <f t="shared" ref="B40:K40" si="25">B18</f>
        <v>-0.5</v>
      </c>
      <c r="C40" s="5">
        <f t="shared" si="25"/>
        <v>-0.5</v>
      </c>
      <c r="D40" s="5">
        <f t="shared" si="25"/>
        <v>-0.5</v>
      </c>
      <c r="E40" s="5">
        <f t="shared" si="25"/>
        <v>-0.5</v>
      </c>
      <c r="F40" s="5">
        <f t="shared" si="25"/>
        <v>-0.5</v>
      </c>
      <c r="G40" s="5">
        <f t="shared" si="25"/>
        <v>-0.5</v>
      </c>
      <c r="H40" s="5">
        <f t="shared" si="25"/>
        <v>-0.5</v>
      </c>
      <c r="I40" s="5">
        <f t="shared" si="25"/>
        <v>-0.5</v>
      </c>
      <c r="J40" s="5">
        <f t="shared" si="25"/>
        <v>-0.5</v>
      </c>
      <c r="K40" s="5">
        <f t="shared" si="25"/>
        <v>-0.5</v>
      </c>
    </row>
    <row r="41" spans="1:11" ht="12.5" x14ac:dyDescent="0.25">
      <c r="A41" s="5">
        <v>21</v>
      </c>
      <c r="B41" s="5">
        <f t="shared" ref="B41:K41" si="26">B19</f>
        <v>-0.5</v>
      </c>
      <c r="C41" s="5">
        <f t="shared" si="26"/>
        <v>-0.5</v>
      </c>
      <c r="D41" s="5">
        <f t="shared" si="26"/>
        <v>-0.5</v>
      </c>
      <c r="E41" s="5">
        <f t="shared" si="26"/>
        <v>-0.5</v>
      </c>
      <c r="F41" s="5">
        <f t="shared" si="26"/>
        <v>-0.5</v>
      </c>
      <c r="G41" s="5">
        <f t="shared" si="26"/>
        <v>-0.5</v>
      </c>
      <c r="H41" s="5">
        <f t="shared" si="26"/>
        <v>-0.5</v>
      </c>
      <c r="I41" s="5">
        <f t="shared" si="26"/>
        <v>-0.5</v>
      </c>
      <c r="J41" s="5">
        <f t="shared" si="26"/>
        <v>-0.5</v>
      </c>
      <c r="K41" s="5">
        <f t="shared" si="26"/>
        <v>-0.5</v>
      </c>
    </row>
    <row r="42" spans="1:11" ht="12.5" x14ac:dyDescent="0.25">
      <c r="A42" s="5">
        <v>22</v>
      </c>
      <c r="B42" s="5">
        <f t="shared" ref="B42:K42" si="27">B10</f>
        <v>-0.5</v>
      </c>
      <c r="C42" s="5">
        <f t="shared" si="27"/>
        <v>-0.5</v>
      </c>
      <c r="D42" s="5">
        <f t="shared" si="27"/>
        <v>-0.5</v>
      </c>
      <c r="E42" s="5">
        <f t="shared" si="27"/>
        <v>-0.5</v>
      </c>
      <c r="F42" s="5">
        <f t="shared" si="27"/>
        <v>-0.5</v>
      </c>
      <c r="G42" s="5">
        <f t="shared" si="27"/>
        <v>-0.5</v>
      </c>
      <c r="H42" s="5">
        <f t="shared" si="27"/>
        <v>-0.5</v>
      </c>
      <c r="I42" s="5">
        <f t="shared" si="27"/>
        <v>-0.5</v>
      </c>
      <c r="J42" s="5">
        <f t="shared" si="27"/>
        <v>-0.5</v>
      </c>
      <c r="K42" s="5">
        <f t="shared" si="27"/>
        <v>-0.5</v>
      </c>
    </row>
    <row r="43" spans="1:11" ht="12.5" x14ac:dyDescent="0.25">
      <c r="A43" s="5">
        <v>23</v>
      </c>
      <c r="B43" s="5">
        <f t="shared" ref="B43:K43" si="28">B11</f>
        <v>-0.5</v>
      </c>
      <c r="C43" s="5">
        <f t="shared" si="28"/>
        <v>-0.5</v>
      </c>
      <c r="D43" s="5">
        <f t="shared" si="28"/>
        <v>-0.5</v>
      </c>
      <c r="E43" s="5">
        <f t="shared" si="28"/>
        <v>-0.5</v>
      </c>
      <c r="F43" s="5">
        <f t="shared" si="28"/>
        <v>-0.5</v>
      </c>
      <c r="G43" s="5">
        <f t="shared" si="28"/>
        <v>-0.5</v>
      </c>
      <c r="H43" s="5">
        <f t="shared" si="28"/>
        <v>-0.5</v>
      </c>
      <c r="I43" s="5">
        <f t="shared" si="28"/>
        <v>-0.5</v>
      </c>
      <c r="J43" s="5">
        <f t="shared" si="28"/>
        <v>-0.5</v>
      </c>
      <c r="K43" s="5">
        <f t="shared" si="28"/>
        <v>-0.5</v>
      </c>
    </row>
    <row r="44" spans="1:11" ht="12.5" x14ac:dyDescent="0.25">
      <c r="A44" s="5">
        <v>24</v>
      </c>
      <c r="B44" s="5">
        <f t="shared" ref="B44:K44" si="29">B12</f>
        <v>-0.5</v>
      </c>
      <c r="C44" s="5">
        <f t="shared" si="29"/>
        <v>-0.5</v>
      </c>
      <c r="D44" s="5">
        <f t="shared" si="29"/>
        <v>-0.5</v>
      </c>
      <c r="E44" s="5">
        <f t="shared" si="29"/>
        <v>-0.5</v>
      </c>
      <c r="F44" s="5">
        <f t="shared" si="29"/>
        <v>-0.5</v>
      </c>
      <c r="G44" s="5">
        <f t="shared" si="29"/>
        <v>-0.5</v>
      </c>
      <c r="H44" s="5">
        <f t="shared" si="29"/>
        <v>-0.5</v>
      </c>
      <c r="I44" s="5">
        <f t="shared" si="29"/>
        <v>-0.5</v>
      </c>
      <c r="J44" s="5">
        <f t="shared" si="29"/>
        <v>-0.5</v>
      </c>
      <c r="K44" s="5">
        <f t="shared" si="29"/>
        <v>-0.5</v>
      </c>
    </row>
    <row r="45" spans="1:11" ht="12.5" x14ac:dyDescent="0.25">
      <c r="A45" s="5">
        <v>25</v>
      </c>
      <c r="B45" s="5">
        <f t="shared" ref="B45:K45" si="30">B13</f>
        <v>-0.5</v>
      </c>
      <c r="C45" s="5">
        <f t="shared" si="30"/>
        <v>-0.5</v>
      </c>
      <c r="D45" s="5">
        <f t="shared" si="30"/>
        <v>-0.5</v>
      </c>
      <c r="E45" s="5">
        <f t="shared" si="30"/>
        <v>-0.5</v>
      </c>
      <c r="F45" s="5">
        <f t="shared" si="30"/>
        <v>-0.5</v>
      </c>
      <c r="G45" s="5">
        <f t="shared" si="30"/>
        <v>-0.5</v>
      </c>
      <c r="H45" s="5">
        <f t="shared" si="30"/>
        <v>-0.5</v>
      </c>
      <c r="I45" s="5">
        <f t="shared" si="30"/>
        <v>-0.5</v>
      </c>
      <c r="J45" s="5">
        <f t="shared" si="30"/>
        <v>-0.5</v>
      </c>
      <c r="K45" s="5">
        <f t="shared" si="30"/>
        <v>-0.5</v>
      </c>
    </row>
    <row r="46" spans="1:11" ht="12.5" x14ac:dyDescent="0.25">
      <c r="A46" s="5">
        <v>26</v>
      </c>
      <c r="B46" s="5">
        <f t="shared" ref="B46:K46" si="31">B14</f>
        <v>-0.5</v>
      </c>
      <c r="C46" s="5">
        <f t="shared" si="31"/>
        <v>-0.5</v>
      </c>
      <c r="D46" s="5">
        <f t="shared" si="31"/>
        <v>-0.5</v>
      </c>
      <c r="E46" s="5">
        <f t="shared" si="31"/>
        <v>-0.5</v>
      </c>
      <c r="F46" s="5">
        <f t="shared" si="31"/>
        <v>-0.5</v>
      </c>
      <c r="G46" s="5">
        <f t="shared" si="31"/>
        <v>-0.5</v>
      </c>
      <c r="H46" s="5">
        <f t="shared" si="31"/>
        <v>-0.5</v>
      </c>
      <c r="I46" s="5">
        <f t="shared" si="31"/>
        <v>-0.5</v>
      </c>
      <c r="J46" s="5">
        <f t="shared" si="31"/>
        <v>-0.5</v>
      </c>
      <c r="K46" s="5">
        <f t="shared" si="31"/>
        <v>-0.5</v>
      </c>
    </row>
    <row r="47" spans="1:11" ht="12.5" x14ac:dyDescent="0.25">
      <c r="A47" s="5">
        <v>27</v>
      </c>
      <c r="B47" s="5">
        <f t="shared" ref="B47:K47" si="32">B15</f>
        <v>-0.5</v>
      </c>
      <c r="C47" s="5">
        <f t="shared" si="32"/>
        <v>-0.5</v>
      </c>
      <c r="D47" s="5">
        <f t="shared" si="32"/>
        <v>-0.5</v>
      </c>
      <c r="E47" s="5">
        <f t="shared" si="32"/>
        <v>-0.5</v>
      </c>
      <c r="F47" s="5">
        <f t="shared" si="32"/>
        <v>-0.5</v>
      </c>
      <c r="G47" s="5">
        <f t="shared" si="32"/>
        <v>-0.5</v>
      </c>
      <c r="H47" s="5">
        <f t="shared" si="32"/>
        <v>-0.5</v>
      </c>
      <c r="I47" s="5">
        <f t="shared" si="32"/>
        <v>-0.5</v>
      </c>
      <c r="J47" s="5">
        <f t="shared" si="32"/>
        <v>-0.5</v>
      </c>
      <c r="K47" s="5">
        <f t="shared" si="32"/>
        <v>-0.5</v>
      </c>
    </row>
    <row r="48" spans="1:11" ht="12.5" x14ac:dyDescent="0.25">
      <c r="A48" s="5">
        <v>28</v>
      </c>
      <c r="B48" s="5">
        <f t="shared" ref="B48:K48" si="33">B16</f>
        <v>-0.5</v>
      </c>
      <c r="C48" s="5">
        <f t="shared" si="33"/>
        <v>-0.5</v>
      </c>
      <c r="D48" s="5">
        <f t="shared" si="33"/>
        <v>-0.5</v>
      </c>
      <c r="E48" s="5">
        <f t="shared" si="33"/>
        <v>-0.5</v>
      </c>
      <c r="F48" s="5">
        <f t="shared" si="33"/>
        <v>-0.5</v>
      </c>
      <c r="G48" s="5">
        <f t="shared" si="33"/>
        <v>-0.5</v>
      </c>
      <c r="H48" s="5">
        <f t="shared" si="33"/>
        <v>-0.5</v>
      </c>
      <c r="I48" s="5">
        <f t="shared" si="33"/>
        <v>-0.5</v>
      </c>
      <c r="J48" s="5">
        <f t="shared" si="33"/>
        <v>-0.5</v>
      </c>
      <c r="K48" s="5">
        <f t="shared" si="33"/>
        <v>-0.5</v>
      </c>
    </row>
    <row r="49" spans="1:11" ht="12.5" x14ac:dyDescent="0.25">
      <c r="A49" s="5">
        <v>29</v>
      </c>
      <c r="B49" s="5">
        <f t="shared" ref="B49:K49" si="34">B17</f>
        <v>-0.5</v>
      </c>
      <c r="C49" s="5">
        <f t="shared" si="34"/>
        <v>-0.5</v>
      </c>
      <c r="D49" s="5">
        <f t="shared" si="34"/>
        <v>-0.5</v>
      </c>
      <c r="E49" s="5">
        <f t="shared" si="34"/>
        <v>-0.5</v>
      </c>
      <c r="F49" s="5">
        <f t="shared" si="34"/>
        <v>-0.5</v>
      </c>
      <c r="G49" s="5">
        <f t="shared" si="34"/>
        <v>-0.5</v>
      </c>
      <c r="H49" s="5">
        <f t="shared" si="34"/>
        <v>-0.5</v>
      </c>
      <c r="I49" s="5">
        <f t="shared" si="34"/>
        <v>-0.5</v>
      </c>
      <c r="J49" s="5">
        <f t="shared" si="34"/>
        <v>-0.5</v>
      </c>
      <c r="K49" s="5">
        <f t="shared" si="34"/>
        <v>-0.5</v>
      </c>
    </row>
    <row r="50" spans="1:11" ht="12.5" x14ac:dyDescent="0.25">
      <c r="A50" s="5">
        <v>30</v>
      </c>
      <c r="B50" s="5">
        <f t="shared" ref="B50:K50" si="35">B18</f>
        <v>-0.5</v>
      </c>
      <c r="C50" s="5">
        <f t="shared" si="35"/>
        <v>-0.5</v>
      </c>
      <c r="D50" s="5">
        <f t="shared" si="35"/>
        <v>-0.5</v>
      </c>
      <c r="E50" s="5">
        <f t="shared" si="35"/>
        <v>-0.5</v>
      </c>
      <c r="F50" s="5">
        <f t="shared" si="35"/>
        <v>-0.5</v>
      </c>
      <c r="G50" s="5">
        <f t="shared" si="35"/>
        <v>-0.5</v>
      </c>
      <c r="H50" s="5">
        <f t="shared" si="35"/>
        <v>-0.5</v>
      </c>
      <c r="I50" s="5">
        <f t="shared" si="35"/>
        <v>-0.5</v>
      </c>
      <c r="J50" s="5">
        <f t="shared" si="35"/>
        <v>-0.5</v>
      </c>
      <c r="K50" s="5">
        <f t="shared" si="35"/>
        <v>-0.5</v>
      </c>
    </row>
    <row r="51" spans="1:11" ht="12.5" x14ac:dyDescent="0.25">
      <c r="A51" s="5">
        <v>31</v>
      </c>
      <c r="B51" s="5">
        <f t="shared" ref="B51:K51" si="36">B19</f>
        <v>-0.5</v>
      </c>
      <c r="C51" s="5">
        <f t="shared" si="36"/>
        <v>-0.5</v>
      </c>
      <c r="D51" s="5">
        <f t="shared" si="36"/>
        <v>-0.5</v>
      </c>
      <c r="E51" s="5">
        <f t="shared" si="36"/>
        <v>-0.5</v>
      </c>
      <c r="F51" s="5">
        <f t="shared" si="36"/>
        <v>-0.5</v>
      </c>
      <c r="G51" s="5">
        <f t="shared" si="36"/>
        <v>-0.5</v>
      </c>
      <c r="H51" s="5">
        <f t="shared" si="36"/>
        <v>-0.5</v>
      </c>
      <c r="I51" s="5">
        <f t="shared" si="36"/>
        <v>-0.5</v>
      </c>
      <c r="J51" s="5">
        <f t="shared" si="36"/>
        <v>-0.5</v>
      </c>
      <c r="K51" s="5">
        <f t="shared" si="36"/>
        <v>-0.5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W51"/>
  <sheetViews>
    <sheetView workbookViewId="0"/>
  </sheetViews>
  <sheetFormatPr defaultColWidth="12.6328125" defaultRowHeight="15.75" customHeight="1" x14ac:dyDescent="0.25"/>
  <cols>
    <col min="13" max="13" width="4.453125" customWidth="1"/>
    <col min="14" max="23" width="4.7265625" customWidth="1"/>
  </cols>
  <sheetData>
    <row r="1" spans="1:23" ht="15.75" customHeight="1" x14ac:dyDescent="0.25">
      <c r="A1" s="5" t="s">
        <v>1</v>
      </c>
      <c r="B1" s="5">
        <v>2</v>
      </c>
      <c r="C1" s="5">
        <v>3</v>
      </c>
      <c r="D1" s="5">
        <v>4</v>
      </c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 t="s">
        <v>2</v>
      </c>
      <c r="M1" s="2" t="s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  <c r="W1" s="2" t="s">
        <v>2</v>
      </c>
    </row>
    <row r="2" spans="1:23" ht="15.75" customHeight="1" x14ac:dyDescent="0.25">
      <c r="A2" s="5">
        <v>4</v>
      </c>
      <c r="B2" s="5">
        <f>MAX(Hit!B2,Stand!B2,Double!B2,Surrender!B2)</f>
        <v>-0.11491332761892134</v>
      </c>
      <c r="C2" s="5">
        <f>MAX(Hit!C2,Stand!C2,Double!C2,Surrender!C2)</f>
        <v>-8.2613314299744375E-2</v>
      </c>
      <c r="D2" s="5">
        <f>MAX(Hit!D2,Stand!D2,Double!D2,Surrender!D2)</f>
        <v>-4.9367420106916908E-2</v>
      </c>
      <c r="E2" s="5">
        <f>MAX(Hit!E2,Stand!E2,Double!E2,Surrender!E2)</f>
        <v>-1.2379926519926384E-2</v>
      </c>
      <c r="F2" s="5">
        <f>MAX(Hit!F2,Stand!F2,Double!F2,Surrender!F2)</f>
        <v>1.1130417280979889E-2</v>
      </c>
      <c r="G2" s="5">
        <f>MAX(Hit!G2,Stand!G2,Double!G2,Surrender!G2)</f>
        <v>-8.8279201058463722E-2</v>
      </c>
      <c r="H2" s="5">
        <f>MAX(Hit!H2,Stand!H2,Double!H2,Surrender!H2)</f>
        <v>-0.15933415266020509</v>
      </c>
      <c r="I2" s="5">
        <f>MAX(Hit!I2,Stand!I2,Double!I2,Surrender!I2)</f>
        <v>-0.24066617915336547</v>
      </c>
      <c r="J2" s="5">
        <f>MAX(Hit!J2,Stand!J2,Double!J2,Surrender!J2)</f>
        <v>-0.28919791448567511</v>
      </c>
      <c r="K2" s="5">
        <f>MAX(Hit!K2,Stand!K2,Double!K2,Surrender!K2)</f>
        <v>-0.25307699440390868</v>
      </c>
      <c r="M2" s="2">
        <v>4</v>
      </c>
      <c r="N2" s="2" t="str">
        <f>IF(B2=Stand!B2,"S",IF(B2=Double!B2,"D",IF(B2=Surrender!B2,"R","H")))</f>
        <v>H</v>
      </c>
      <c r="O2" s="2" t="str">
        <f>IF(C2=Stand!C2,"S",IF(C2=Double!C2,"D",IF(C2=Surrender!C2,"R","H")))</f>
        <v>H</v>
      </c>
      <c r="P2" s="2" t="str">
        <f>IF(D2=Stand!D2,"S",IF(D2=Double!D2,"D",IF(D2=Surrender!D2,"R","H")))</f>
        <v>H</v>
      </c>
      <c r="Q2" s="2" t="str">
        <f>IF(E2=Stand!E2,"S",IF(E2=Double!E2,"D",IF(E2=Surrender!E2,"R","H")))</f>
        <v>H</v>
      </c>
      <c r="R2" s="2" t="str">
        <f>IF(F2=Stand!F2,"S",IF(F2=Double!F2,"D",IF(F2=Surrender!F2,"R","H")))</f>
        <v>H</v>
      </c>
      <c r="S2" s="2" t="str">
        <f>IF(G2=Stand!G2,"S",IF(G2=Double!G2,"D",IF(G2=Surrender!G2,"R","H")))</f>
        <v>H</v>
      </c>
      <c r="T2" s="2" t="str">
        <f>IF(H2=Stand!H2,"S",IF(H2=Double!H2,"D",IF(H2=Surrender!H2,"R","H")))</f>
        <v>H</v>
      </c>
      <c r="U2" s="2" t="str">
        <f>IF(I2=Stand!I2,"S",IF(I2=Double!I2,"D",IF(I2=Surrender!I2,"R","H")))</f>
        <v>H</v>
      </c>
      <c r="V2" s="2" t="str">
        <f>IF(J2=Stand!J2,"S",IF(J2=Double!J2,"D",IF(J2=Surrender!J2,"R","H")))</f>
        <v>H</v>
      </c>
      <c r="W2" s="2" t="str">
        <f>IF(K2=Stand!K2,"S",IF(K2=Double!K2,"D",IF(K2=Surrender!K2,"R","H")))</f>
        <v>H</v>
      </c>
    </row>
    <row r="3" spans="1:23" ht="15.75" customHeight="1" x14ac:dyDescent="0.25">
      <c r="A3" s="5">
        <v>5</v>
      </c>
      <c r="B3" s="5">
        <f>MAX(Hit!B3,Stand!B3,Double!B3,Surrender!B3)</f>
        <v>-0.12821556706374745</v>
      </c>
      <c r="C3" s="5">
        <f>MAX(Hit!C3,Stand!C3,Double!C3,Surrender!C3)</f>
        <v>-9.5310227261489883E-2</v>
      </c>
      <c r="D3" s="5">
        <f>MAX(Hit!D3,Stand!D3,Double!D3,Surrender!D3)</f>
        <v>-6.1479464199694238E-2</v>
      </c>
      <c r="E3" s="5">
        <f>MAX(Hit!E3,Stand!E3,Double!E3,Surrender!E3)</f>
        <v>-2.397897039185962E-2</v>
      </c>
      <c r="F3" s="5">
        <f>MAX(Hit!F3,Stand!F3,Double!F3,Surrender!F3)</f>
        <v>-1.1863378384400908E-3</v>
      </c>
      <c r="G3" s="5">
        <f>MAX(Hit!G3,Stand!G3,Double!G3,Surrender!G3)</f>
        <v>-0.11944744188414852</v>
      </c>
      <c r="H3" s="5">
        <f>MAX(Hit!H3,Stand!H3,Double!H3,Surrender!H3)</f>
        <v>-0.18809330390318518</v>
      </c>
      <c r="I3" s="5">
        <f>MAX(Hit!I3,Stand!I3,Double!I3,Surrender!I3)</f>
        <v>-0.2666150533579591</v>
      </c>
      <c r="J3" s="5">
        <f>MAX(Hit!J3,Stand!J3,Double!J3,Surrender!J3)</f>
        <v>-0.31341164336497107</v>
      </c>
      <c r="K3" s="5">
        <f>MAX(Hit!K3,Stand!K3,Double!K3,Surrender!K3)</f>
        <v>-0.27857459755181968</v>
      </c>
      <c r="M3" s="2">
        <v>5</v>
      </c>
      <c r="N3" s="2" t="str">
        <f>IF(B3=Stand!B3,"S",IF(B3=Double!B3,"D",IF(B3=Surrender!B3,"R","H")))</f>
        <v>H</v>
      </c>
      <c r="O3" s="2" t="str">
        <f>IF(C3=Stand!C3,"S",IF(C3=Double!C3,"D",IF(C3=Surrender!C3,"R","H")))</f>
        <v>H</v>
      </c>
      <c r="P3" s="2" t="str">
        <f>IF(D3=Stand!D3,"S",IF(D3=Double!D3,"D",IF(D3=Surrender!D3,"R","H")))</f>
        <v>H</v>
      </c>
      <c r="Q3" s="2" t="str">
        <f>IF(E3=Stand!E3,"S",IF(E3=Double!E3,"D",IF(E3=Surrender!E3,"R","H")))</f>
        <v>H</v>
      </c>
      <c r="R3" s="2" t="str">
        <f>IF(F3=Stand!F3,"S",IF(F3=Double!F3,"D",IF(F3=Surrender!F3,"R","H")))</f>
        <v>H</v>
      </c>
      <c r="S3" s="2" t="str">
        <f>IF(G3=Stand!G3,"S",IF(G3=Double!G3,"D",IF(G3=Surrender!G3,"R","H")))</f>
        <v>H</v>
      </c>
      <c r="T3" s="2" t="str">
        <f>IF(H3=Stand!H3,"S",IF(H3=Double!H3,"D",IF(H3=Surrender!H3,"R","H")))</f>
        <v>H</v>
      </c>
      <c r="U3" s="2" t="str">
        <f>IF(I3=Stand!I3,"S",IF(I3=Double!I3,"D",IF(I3=Surrender!I3,"R","H")))</f>
        <v>H</v>
      </c>
      <c r="V3" s="2" t="str">
        <f>IF(J3=Stand!J3,"S",IF(J3=Double!J3,"D",IF(J3=Surrender!J3,"R","H")))</f>
        <v>H</v>
      </c>
      <c r="W3" s="2" t="str">
        <f>IF(K3=Stand!K3,"S",IF(K3=Double!K3,"D",IF(K3=Surrender!K3,"R","H")))</f>
        <v>H</v>
      </c>
    </row>
    <row r="4" spans="1:23" ht="15.75" customHeight="1" x14ac:dyDescent="0.25">
      <c r="A4" s="5">
        <v>6</v>
      </c>
      <c r="B4" s="5">
        <f>MAX(Hit!B4,Stand!B4,Double!B4,Surrender!B4)</f>
        <v>-0.14075911746001987</v>
      </c>
      <c r="C4" s="5">
        <f>MAX(Hit!C4,Stand!C4,Double!C4,Surrender!C4)</f>
        <v>-0.10729107800860836</v>
      </c>
      <c r="D4" s="5">
        <f>MAX(Hit!D4,Stand!D4,Double!D4,Surrender!D4)</f>
        <v>-7.2917141926387305E-2</v>
      </c>
      <c r="E4" s="5">
        <f>MAX(Hit!E4,Stand!E4,Double!E4,Surrender!E4)</f>
        <v>-3.4915973330102178E-2</v>
      </c>
      <c r="F4" s="5">
        <f>MAX(Hit!F4,Stand!F4,Double!F4,Surrender!F4)</f>
        <v>-1.3005835529874204E-2</v>
      </c>
      <c r="G4" s="5">
        <f>MAX(Hit!G4,Stand!G4,Double!G4,Surrender!G4)</f>
        <v>-0.15193270723669944</v>
      </c>
      <c r="H4" s="5">
        <f>MAX(Hit!H4,Stand!H4,Double!H4,Surrender!H4)</f>
        <v>-0.21724188132078476</v>
      </c>
      <c r="I4" s="5">
        <f>MAX(Hit!I4,Stand!I4,Double!I4,Surrender!I4)</f>
        <v>-0.29264070019772598</v>
      </c>
      <c r="J4" s="5">
        <f>MAX(Hit!J4,Stand!J4,Double!J4,Surrender!J4)</f>
        <v>-0.33774944037840804</v>
      </c>
      <c r="K4" s="5">
        <f>MAX(Hit!K4,Stand!K4,Double!K4,Surrender!K4)</f>
        <v>-0.30414663097569938</v>
      </c>
      <c r="M4" s="2">
        <v>6</v>
      </c>
      <c r="N4" s="2" t="str">
        <f>IF(B4=Stand!B4,"S",IF(B4=Double!B4,"D",IF(B4=Surrender!B4,"R","H")))</f>
        <v>H</v>
      </c>
      <c r="O4" s="2" t="str">
        <f>IF(C4=Stand!C4,"S",IF(C4=Double!C4,"D",IF(C4=Surrender!C4,"R","H")))</f>
        <v>H</v>
      </c>
      <c r="P4" s="2" t="str">
        <f>IF(D4=Stand!D4,"S",IF(D4=Double!D4,"D",IF(D4=Surrender!D4,"R","H")))</f>
        <v>H</v>
      </c>
      <c r="Q4" s="2" t="str">
        <f>IF(E4=Stand!E4,"S",IF(E4=Double!E4,"D",IF(E4=Surrender!E4,"R","H")))</f>
        <v>H</v>
      </c>
      <c r="R4" s="2" t="str">
        <f>IF(F4=Stand!F4,"S",IF(F4=Double!F4,"D",IF(F4=Surrender!F4,"R","H")))</f>
        <v>H</v>
      </c>
      <c r="S4" s="2" t="str">
        <f>IF(G4=Stand!G4,"S",IF(G4=Double!G4,"D",IF(G4=Surrender!G4,"R","H")))</f>
        <v>H</v>
      </c>
      <c r="T4" s="2" t="str">
        <f>IF(H4=Stand!H4,"S",IF(H4=Double!H4,"D",IF(H4=Surrender!H4,"R","H")))</f>
        <v>H</v>
      </c>
      <c r="U4" s="2" t="str">
        <f>IF(I4=Stand!I4,"S",IF(I4=Double!I4,"D",IF(I4=Surrender!I4,"R","H")))</f>
        <v>H</v>
      </c>
      <c r="V4" s="2" t="str">
        <f>IF(J4=Stand!J4,"S",IF(J4=Double!J4,"D",IF(J4=Surrender!J4,"R","H")))</f>
        <v>H</v>
      </c>
      <c r="W4" s="2" t="str">
        <f>IF(K4=Stand!K4,"S",IF(K4=Double!K4,"D",IF(K4=Surrender!K4,"R","H")))</f>
        <v>H</v>
      </c>
    </row>
    <row r="5" spans="1:23" ht="15.75" customHeight="1" x14ac:dyDescent="0.25">
      <c r="A5" s="5">
        <v>7</v>
      </c>
      <c r="B5" s="5">
        <f>MAX(Hit!B5,Stand!B5,Double!B5,Surrender!B5)</f>
        <v>-0.10918342786661633</v>
      </c>
      <c r="C5" s="5">
        <f>MAX(Hit!C5,Stand!C5,Double!C5,Surrender!C5)</f>
        <v>-7.658298190446361E-2</v>
      </c>
      <c r="D5" s="5">
        <f>MAX(Hit!D5,Stand!D5,Double!D5,Surrender!D5)</f>
        <v>-4.3021794004341876E-2</v>
      </c>
      <c r="E5" s="5">
        <f>MAX(Hit!E5,Stand!E5,Double!E5,Surrender!E5)</f>
        <v>-7.2713609029408845E-3</v>
      </c>
      <c r="F5" s="5">
        <f>MAX(Hit!F5,Stand!F5,Double!F5,Surrender!F5)</f>
        <v>2.9185342353860964E-2</v>
      </c>
      <c r="G5" s="5">
        <f>MAX(Hit!G5,Stand!G5,Double!G5,Surrender!G5)</f>
        <v>-6.8807799580427764E-2</v>
      </c>
      <c r="H5" s="5">
        <f>MAX(Hit!H5,Stand!H5,Double!H5,Surrender!H5)</f>
        <v>-0.21060476872434966</v>
      </c>
      <c r="I5" s="5">
        <f>MAX(Hit!I5,Stand!I5,Double!I5,Surrender!I5)</f>
        <v>-0.28536544048687662</v>
      </c>
      <c r="J5" s="5">
        <f>MAX(Hit!J5,Stand!J5,Double!J5,Surrender!J5)</f>
        <v>-0.31905479139833842</v>
      </c>
      <c r="K5" s="5">
        <f>MAX(Hit!K5,Stand!K5,Double!K5,Surrender!K5)</f>
        <v>-0.31007165033163697</v>
      </c>
      <c r="M5" s="2">
        <v>7</v>
      </c>
      <c r="N5" s="2" t="str">
        <f>IF(B5=Stand!B5,"S",IF(B5=Double!B5,"D",IF(B5=Surrender!B5,"R","H")))</f>
        <v>H</v>
      </c>
      <c r="O5" s="2" t="str">
        <f>IF(C5=Stand!C5,"S",IF(C5=Double!C5,"D",IF(C5=Surrender!C5,"R","H")))</f>
        <v>H</v>
      </c>
      <c r="P5" s="2" t="str">
        <f>IF(D5=Stand!D5,"S",IF(D5=Double!D5,"D",IF(D5=Surrender!D5,"R","H")))</f>
        <v>H</v>
      </c>
      <c r="Q5" s="2" t="str">
        <f>IF(E5=Stand!E5,"S",IF(E5=Double!E5,"D",IF(E5=Surrender!E5,"R","H")))</f>
        <v>H</v>
      </c>
      <c r="R5" s="2" t="str">
        <f>IF(F5=Stand!F5,"S",IF(F5=Double!F5,"D",IF(F5=Surrender!F5,"R","H")))</f>
        <v>H</v>
      </c>
      <c r="S5" s="2" t="str">
        <f>IF(G5=Stand!G5,"S",IF(G5=Double!G5,"D",IF(G5=Surrender!G5,"R","H")))</f>
        <v>H</v>
      </c>
      <c r="T5" s="2" t="str">
        <f>IF(H5=Stand!H5,"S",IF(H5=Double!H5,"D",IF(H5=Surrender!H5,"R","H")))</f>
        <v>H</v>
      </c>
      <c r="U5" s="2" t="str">
        <f>IF(I5=Stand!I5,"S",IF(I5=Double!I5,"D",IF(I5=Surrender!I5,"R","H")))</f>
        <v>H</v>
      </c>
      <c r="V5" s="2" t="str">
        <f>IF(J5=Stand!J5,"S",IF(J5=Double!J5,"D",IF(J5=Surrender!J5,"R","H")))</f>
        <v>H</v>
      </c>
      <c r="W5" s="2" t="str">
        <f>IF(K5=Stand!K5,"S",IF(K5=Double!K5,"D",IF(K5=Surrender!K5,"R","H")))</f>
        <v>H</v>
      </c>
    </row>
    <row r="6" spans="1:23" ht="15.75" customHeight="1" x14ac:dyDescent="0.25">
      <c r="A6" s="5">
        <v>8</v>
      </c>
      <c r="B6" s="5">
        <f>MAX(Hit!B6,Stand!B6,Double!B6,Surrender!B6)</f>
        <v>-2.1798188008805668E-2</v>
      </c>
      <c r="C6" s="5">
        <f>MAX(Hit!C6,Stand!C6,Double!C6,Surrender!C6)</f>
        <v>8.0052625306546651E-3</v>
      </c>
      <c r="D6" s="5">
        <f>MAX(Hit!D6,Stand!D6,Double!D6,Surrender!D6)</f>
        <v>3.8784473277208811E-2</v>
      </c>
      <c r="E6" s="5">
        <f>MAX(Hit!E6,Stand!E6,Double!E6,Surrender!E6)</f>
        <v>7.0804635983033826E-2</v>
      </c>
      <c r="F6" s="5">
        <f>MAX(Hit!F6,Stand!F6,Double!F6,Surrender!F6)</f>
        <v>0.11496015009622332</v>
      </c>
      <c r="G6" s="5">
        <f>MAX(Hit!G6,Stand!G6,Double!G6,Surrender!G6)</f>
        <v>8.2207439363742862E-2</v>
      </c>
      <c r="H6" s="5">
        <f>MAX(Hit!H6,Stand!H6,Double!H6,Surrender!H6)</f>
        <v>-5.9898275658656304E-2</v>
      </c>
      <c r="I6" s="5">
        <f>MAX(Hit!I6,Stand!I6,Double!I6,Surrender!I6)</f>
        <v>-0.21018633199821762</v>
      </c>
      <c r="J6" s="5">
        <f>MAX(Hit!J6,Stand!J6,Double!J6,Surrender!J6)</f>
        <v>-0.24937508055334259</v>
      </c>
      <c r="K6" s="5">
        <f>MAX(Hit!K6,Stand!K6,Double!K6,Surrender!K6)</f>
        <v>-0.1970288105741636</v>
      </c>
      <c r="M6" s="2">
        <v>8</v>
      </c>
      <c r="N6" s="2" t="str">
        <f>IF(B6=Stand!B6,"S",IF(B6=Double!B6,"D",IF(B6=Surrender!B6,"R","H")))</f>
        <v>H</v>
      </c>
      <c r="O6" s="2" t="str">
        <f>IF(C6=Stand!C6,"S",IF(C6=Double!C6,"D",IF(C6=Surrender!C6,"R","H")))</f>
        <v>H</v>
      </c>
      <c r="P6" s="2" t="str">
        <f>IF(D6=Stand!D6,"S",IF(D6=Double!D6,"D",IF(D6=Surrender!D6,"R","H")))</f>
        <v>H</v>
      </c>
      <c r="Q6" s="2" t="str">
        <f>IF(E6=Stand!E6,"S",IF(E6=Double!E6,"D",IF(E6=Surrender!E6,"R","H")))</f>
        <v>H</v>
      </c>
      <c r="R6" s="2" t="str">
        <f>IF(F6=Stand!F6,"S",IF(F6=Double!F6,"D",IF(F6=Surrender!F6,"R","H")))</f>
        <v>H</v>
      </c>
      <c r="S6" s="2" t="str">
        <f>IF(G6=Stand!G6,"S",IF(G6=Double!G6,"D",IF(G6=Surrender!G6,"R","H")))</f>
        <v>H</v>
      </c>
      <c r="T6" s="2" t="str">
        <f>IF(H6=Stand!H6,"S",IF(H6=Double!H6,"D",IF(H6=Surrender!H6,"R","H")))</f>
        <v>H</v>
      </c>
      <c r="U6" s="2" t="str">
        <f>IF(I6=Stand!I6,"S",IF(I6=Double!I6,"D",IF(I6=Surrender!I6,"R","H")))</f>
        <v>H</v>
      </c>
      <c r="V6" s="2" t="str">
        <f>IF(J6=Stand!J6,"S",IF(J6=Double!J6,"D",IF(J6=Surrender!J6,"R","H")))</f>
        <v>H</v>
      </c>
      <c r="W6" s="2" t="str">
        <f>IF(K6=Stand!K6,"S",IF(K6=Double!K6,"D",IF(K6=Surrender!K6,"R","H")))</f>
        <v>H</v>
      </c>
    </row>
    <row r="7" spans="1:23" ht="15.75" customHeight="1" x14ac:dyDescent="0.25">
      <c r="A7" s="5">
        <v>9</v>
      </c>
      <c r="B7" s="5">
        <f>MAX(Hit!B7,Stand!B7,Double!B7,Surrender!B7)</f>
        <v>7.4446037576340524E-2</v>
      </c>
      <c r="C7" s="5">
        <f>MAX(Hit!C7,Stand!C7,Double!C7,Surrender!C7)</f>
        <v>0.12081635332999649</v>
      </c>
      <c r="D7" s="5">
        <f>MAX(Hit!D7,Stand!D7,Double!D7,Surrender!D7)</f>
        <v>0.18194893405242166</v>
      </c>
      <c r="E7" s="5">
        <f>MAX(Hit!E7,Stand!E7,Double!E7,Surrender!E7)</f>
        <v>0.24305722487303633</v>
      </c>
      <c r="F7" s="5">
        <f>MAX(Hit!F7,Stand!F7,Double!F7,Surrender!F7)</f>
        <v>0.31705474570166703</v>
      </c>
      <c r="G7" s="5">
        <f>MAX(Hit!G7,Stand!G7,Double!G7,Surrender!G7)</f>
        <v>0.17186785993695267</v>
      </c>
      <c r="H7" s="5">
        <f>MAX(Hit!H7,Stand!H7,Double!H7,Surrender!H7)</f>
        <v>9.8376217435392543E-2</v>
      </c>
      <c r="I7" s="5">
        <f>MAX(Hit!I7,Stand!I7,Double!I7,Surrender!I7)</f>
        <v>-5.2178053462651711E-2</v>
      </c>
      <c r="J7" s="5">
        <f>MAX(Hit!J7,Stand!J7,Double!J7,Surrender!J7)</f>
        <v>-0.15295298487455075</v>
      </c>
      <c r="K7" s="5">
        <f>MAX(Hit!K7,Stand!K7,Double!K7,Surrender!K7)</f>
        <v>-6.5680778778066204E-2</v>
      </c>
      <c r="M7" s="2">
        <v>9</v>
      </c>
      <c r="N7" s="2" t="str">
        <f>IF(B7=Stand!B7,"S",IF(B7=Double!B7,"D",IF(B7=Surrender!B7,"R","H")))</f>
        <v>H</v>
      </c>
      <c r="O7" s="2" t="str">
        <f>IF(C7=Stand!C7,"S",IF(C7=Double!C7,"D",IF(C7=Surrender!C7,"R","H")))</f>
        <v>D</v>
      </c>
      <c r="P7" s="2" t="str">
        <f>IF(D7=Stand!D7,"S",IF(D7=Double!D7,"D",IF(D7=Surrender!D7,"R","H")))</f>
        <v>D</v>
      </c>
      <c r="Q7" s="2" t="str">
        <f>IF(E7=Stand!E7,"S",IF(E7=Double!E7,"D",IF(E7=Surrender!E7,"R","H")))</f>
        <v>D</v>
      </c>
      <c r="R7" s="2" t="str">
        <f>IF(F7=Stand!F7,"S",IF(F7=Double!F7,"D",IF(F7=Surrender!F7,"R","H")))</f>
        <v>D</v>
      </c>
      <c r="S7" s="2" t="str">
        <f>IF(G7=Stand!G7,"S",IF(G7=Double!G7,"D",IF(G7=Surrender!G7,"R","H")))</f>
        <v>H</v>
      </c>
      <c r="T7" s="2" t="str">
        <f>IF(H7=Stand!H7,"S",IF(H7=Double!H7,"D",IF(H7=Surrender!H7,"R","H")))</f>
        <v>H</v>
      </c>
      <c r="U7" s="2" t="str">
        <f>IF(I7=Stand!I7,"S",IF(I7=Double!I7,"D",IF(I7=Surrender!I7,"R","H")))</f>
        <v>H</v>
      </c>
      <c r="V7" s="2" t="str">
        <f>IF(J7=Stand!J7,"S",IF(J7=Double!J7,"D",IF(J7=Surrender!J7,"R","H")))</f>
        <v>H</v>
      </c>
      <c r="W7" s="2" t="str">
        <f>IF(K7=Stand!K7,"S",IF(K7=Double!K7,"D",IF(K7=Surrender!K7,"R","H")))</f>
        <v>H</v>
      </c>
    </row>
    <row r="8" spans="1:23" ht="15.75" customHeight="1" x14ac:dyDescent="0.25">
      <c r="A8" s="5">
        <v>10</v>
      </c>
      <c r="B8" s="5">
        <f>MAX(Hit!B8,Stand!B8,Double!B8,Surrender!B8)</f>
        <v>0.3589394124422991</v>
      </c>
      <c r="C8" s="5">
        <f>MAX(Hit!C8,Stand!C8,Double!C8,Surrender!C8)</f>
        <v>0.40932067017593915</v>
      </c>
      <c r="D8" s="5">
        <f>MAX(Hit!D8,Stand!D8,Double!D8,Surrender!D8)</f>
        <v>0.460940243794354</v>
      </c>
      <c r="E8" s="5">
        <f>MAX(Hit!E8,Stand!E8,Double!E8,Surrender!E8)</f>
        <v>0.51251710900326775</v>
      </c>
      <c r="F8" s="5">
        <f>MAX(Hit!F8,Stand!F8,Double!F8,Surrender!F8)</f>
        <v>0.57559016859776868</v>
      </c>
      <c r="G8" s="5">
        <f>MAX(Hit!G8,Stand!G8,Double!G8,Surrender!G8)</f>
        <v>0.39241245528243773</v>
      </c>
      <c r="H8" s="5">
        <f>MAX(Hit!H8,Stand!H8,Double!H8,Surrender!H8)</f>
        <v>0.28663571688628381</v>
      </c>
      <c r="I8" s="5">
        <f>MAX(Hit!I8,Stand!I8,Double!I8,Surrender!I8)</f>
        <v>0.14432836838077112</v>
      </c>
      <c r="J8" s="5">
        <f>MAX(Hit!J8,Stand!J8,Double!J8,Surrender!J8)</f>
        <v>2.5308523040868145E-2</v>
      </c>
      <c r="K8" s="5">
        <f>MAX(Hit!K8,Stand!K8,Double!K8,Surrender!K8)</f>
        <v>8.1449707945275923E-2</v>
      </c>
      <c r="M8" s="2">
        <v>10</v>
      </c>
      <c r="N8" s="2" t="str">
        <f>IF(B8=Stand!B8,"S",IF(B8=Double!B8,"D",IF(B8=Surrender!B8,"R","H")))</f>
        <v>D</v>
      </c>
      <c r="O8" s="2" t="str">
        <f>IF(C8=Stand!C8,"S",IF(C8=Double!C8,"D",IF(C8=Surrender!C8,"R","H")))</f>
        <v>D</v>
      </c>
      <c r="P8" s="2" t="str">
        <f>IF(D8=Stand!D8,"S",IF(D8=Double!D8,"D",IF(D8=Surrender!D8,"R","H")))</f>
        <v>D</v>
      </c>
      <c r="Q8" s="2" t="str">
        <f>IF(E8=Stand!E8,"S",IF(E8=Double!E8,"D",IF(E8=Surrender!E8,"R","H")))</f>
        <v>D</v>
      </c>
      <c r="R8" s="2" t="str">
        <f>IF(F8=Stand!F8,"S",IF(F8=Double!F8,"D",IF(F8=Surrender!F8,"R","H")))</f>
        <v>D</v>
      </c>
      <c r="S8" s="2" t="str">
        <f>IF(G8=Stand!G8,"S",IF(G8=Double!G8,"D",IF(G8=Surrender!G8,"R","H")))</f>
        <v>D</v>
      </c>
      <c r="T8" s="2" t="str">
        <f>IF(H8=Stand!H8,"S",IF(H8=Double!H8,"D",IF(H8=Surrender!H8,"R","H")))</f>
        <v>D</v>
      </c>
      <c r="U8" s="2" t="str">
        <f>IF(I8=Stand!I8,"S",IF(I8=Double!I8,"D",IF(I8=Surrender!I8,"R","H")))</f>
        <v>D</v>
      </c>
      <c r="V8" s="2" t="str">
        <f>IF(J8=Stand!J8,"S",IF(J8=Double!J8,"D",IF(J8=Surrender!J8,"R","H")))</f>
        <v>H</v>
      </c>
      <c r="W8" s="2" t="str">
        <f>IF(K8=Stand!K8,"S",IF(K8=Double!K8,"D",IF(K8=Surrender!K8,"R","H")))</f>
        <v>H</v>
      </c>
    </row>
    <row r="9" spans="1:23" ht="15.75" customHeight="1" x14ac:dyDescent="0.25">
      <c r="A9" s="5">
        <v>11</v>
      </c>
      <c r="B9" s="5">
        <f>MAX(Hit!B9,Stand!B9,Double!B9,Surrender!B9)</f>
        <v>0.47064092333946889</v>
      </c>
      <c r="C9" s="5">
        <f>MAX(Hit!C9,Stand!C9,Double!C9,Surrender!C9)</f>
        <v>0.51779525312221664</v>
      </c>
      <c r="D9" s="5">
        <f>MAX(Hit!D9,Stand!D9,Double!D9,Surrender!D9)</f>
        <v>0.56604055041797607</v>
      </c>
      <c r="E9" s="5">
        <f>MAX(Hit!E9,Stand!E9,Double!E9,Surrender!E9)</f>
        <v>0.61469901790902803</v>
      </c>
      <c r="F9" s="5">
        <f>MAX(Hit!F9,Stand!F9,Double!F9,Surrender!F9)</f>
        <v>0.66738009490756967</v>
      </c>
      <c r="G9" s="5">
        <f>MAX(Hit!G9,Stand!G9,Double!G9,Surrender!G9)</f>
        <v>0.46288894886429094</v>
      </c>
      <c r="H9" s="5">
        <f>MAX(Hit!H9,Stand!H9,Double!H9,Surrender!H9)</f>
        <v>0.35069259087031501</v>
      </c>
      <c r="I9" s="5">
        <f>MAX(Hit!I9,Stand!I9,Double!I9,Surrender!I9)</f>
        <v>0.22778342315245487</v>
      </c>
      <c r="J9" s="5">
        <f>MAX(Hit!J9,Stand!J9,Double!J9,Surrender!J9)</f>
        <v>0.1796887274111463</v>
      </c>
      <c r="K9" s="5">
        <f>MAX(Hit!K9,Stand!K9,Double!K9,Surrender!K9)</f>
        <v>0.14300128216153019</v>
      </c>
      <c r="M9" s="2">
        <v>11</v>
      </c>
      <c r="N9" s="2" t="str">
        <f>IF(B9=Stand!B9,"S",IF(B9=Double!B9,"D",IF(B9=Surrender!B9,"R","H")))</f>
        <v>D</v>
      </c>
      <c r="O9" s="2" t="str">
        <f>IF(C9=Stand!C9,"S",IF(C9=Double!C9,"D",IF(C9=Surrender!C9,"R","H")))</f>
        <v>D</v>
      </c>
      <c r="P9" s="2" t="str">
        <f>IF(D9=Stand!D9,"S",IF(D9=Double!D9,"D",IF(D9=Surrender!D9,"R","H")))</f>
        <v>D</v>
      </c>
      <c r="Q9" s="2" t="str">
        <f>IF(E9=Stand!E9,"S",IF(E9=Double!E9,"D",IF(E9=Surrender!E9,"R","H")))</f>
        <v>D</v>
      </c>
      <c r="R9" s="2" t="str">
        <f>IF(F9=Stand!F9,"S",IF(F9=Double!F9,"D",IF(F9=Surrender!F9,"R","H")))</f>
        <v>D</v>
      </c>
      <c r="S9" s="2" t="str">
        <f>IF(G9=Stand!G9,"S",IF(G9=Double!G9,"D",IF(G9=Surrender!G9,"R","H")))</f>
        <v>D</v>
      </c>
      <c r="T9" s="2" t="str">
        <f>IF(H9=Stand!H9,"S",IF(H9=Double!H9,"D",IF(H9=Surrender!H9,"R","H")))</f>
        <v>D</v>
      </c>
      <c r="U9" s="2" t="str">
        <f>IF(I9=Stand!I9,"S",IF(I9=Double!I9,"D",IF(I9=Surrender!I9,"R","H")))</f>
        <v>D</v>
      </c>
      <c r="V9" s="2" t="str">
        <f>IF(J9=Stand!J9,"S",IF(J9=Double!J9,"D",IF(J9=Surrender!J9,"R","H")))</f>
        <v>D</v>
      </c>
      <c r="W9" s="2" t="str">
        <f>IF(K9=Stand!K9,"S",IF(K9=Double!K9,"D",IF(K9=Surrender!K9,"R","H")))</f>
        <v>H</v>
      </c>
    </row>
    <row r="10" spans="1:23" ht="15.75" customHeight="1" x14ac:dyDescent="0.25">
      <c r="A10" s="5">
        <v>12</v>
      </c>
      <c r="B10" s="5">
        <f>MAX(Hit!B10,Stand!B10,Double!B10,Surrender!B10)</f>
        <v>-0.25338998596663803</v>
      </c>
      <c r="C10" s="5">
        <f>MAX(Hit!C10,Stand!C10,Double!C10,Surrender!C10)</f>
        <v>-0.2336908997980866</v>
      </c>
      <c r="D10" s="5">
        <f>MAX(Hit!D10,Stand!D10,Double!D10,Surrender!D10)</f>
        <v>-0.21106310899491437</v>
      </c>
      <c r="E10" s="5">
        <f>MAX(Hit!E10,Stand!E10,Double!E10,Surrender!E10)</f>
        <v>-0.16719266083547524</v>
      </c>
      <c r="F10" s="5">
        <f>MAX(Hit!F10,Stand!F10,Double!F10,Surrender!F10)</f>
        <v>-0.15369901583000439</v>
      </c>
      <c r="G10" s="5">
        <f>MAX(Hit!G10,Stand!G10,Double!G10,Surrender!G10)</f>
        <v>-0.21284771451731427</v>
      </c>
      <c r="H10" s="5">
        <f>MAX(Hit!H10,Stand!H10,Double!H10,Surrender!H10)</f>
        <v>-0.27157480502428616</v>
      </c>
      <c r="I10" s="5">
        <f>MAX(Hit!I10,Stand!I10,Double!I10,Surrender!I10)</f>
        <v>-0.3400132806089356</v>
      </c>
      <c r="J10" s="5">
        <f>MAX(Hit!J10,Stand!J10,Double!J10,Surrender!J10)</f>
        <v>-0.38104299284808757</v>
      </c>
      <c r="K10" s="5">
        <f>MAX(Hit!K10,Stand!K10,Double!K10,Surrender!K10)</f>
        <v>-0.35054034044008009</v>
      </c>
      <c r="M10" s="2">
        <v>12</v>
      </c>
      <c r="N10" s="2" t="str">
        <f>IF(B10=Stand!B10,"S",IF(B10=Double!B10,"D",IF(B10=Surrender!B10,"R","H")))</f>
        <v>H</v>
      </c>
      <c r="O10" s="2" t="str">
        <f>IF(C10=Stand!C10,"S",IF(C10=Double!C10,"D",IF(C10=Surrender!C10,"R","H")))</f>
        <v>H</v>
      </c>
      <c r="P10" s="2" t="str">
        <f>IF(D10=Stand!D10,"S",IF(D10=Double!D10,"D",IF(D10=Surrender!D10,"R","H")))</f>
        <v>S</v>
      </c>
      <c r="Q10" s="2" t="str">
        <f>IF(E10=Stand!E10,"S",IF(E10=Double!E10,"D",IF(E10=Surrender!E10,"R","H")))</f>
        <v>S</v>
      </c>
      <c r="R10" s="2" t="str">
        <f>IF(F10=Stand!F10,"S",IF(F10=Double!F10,"D",IF(F10=Surrender!F10,"R","H")))</f>
        <v>S</v>
      </c>
      <c r="S10" s="2" t="str">
        <f>IF(G10=Stand!G10,"S",IF(G10=Double!G10,"D",IF(G10=Surrender!G10,"R","H")))</f>
        <v>H</v>
      </c>
      <c r="T10" s="2" t="str">
        <f>IF(H10=Stand!H10,"S",IF(H10=Double!H10,"D",IF(H10=Surrender!H10,"R","H")))</f>
        <v>H</v>
      </c>
      <c r="U10" s="2" t="str">
        <f>IF(I10=Stand!I10,"S",IF(I10=Double!I10,"D",IF(I10=Surrender!I10,"R","H")))</f>
        <v>H</v>
      </c>
      <c r="V10" s="2" t="str">
        <f>IF(J10=Stand!J10,"S",IF(J10=Double!J10,"D",IF(J10=Surrender!J10,"R","H")))</f>
        <v>H</v>
      </c>
      <c r="W10" s="2" t="str">
        <f>IF(K10=Stand!K10,"S",IF(K10=Double!K10,"D",IF(K10=Surrender!K10,"R","H")))</f>
        <v>H</v>
      </c>
    </row>
    <row r="11" spans="1:23" ht="15.75" customHeight="1" x14ac:dyDescent="0.25">
      <c r="A11" s="5">
        <v>13</v>
      </c>
      <c r="B11" s="5">
        <f>MAX(Hit!B11,Stand!B11,Double!B11,Surrender!B11)</f>
        <v>-0.29278372720927726</v>
      </c>
      <c r="C11" s="5">
        <f>MAX(Hit!C11,Stand!C11,Double!C11,Surrender!C11)</f>
        <v>-0.2522502292357135</v>
      </c>
      <c r="D11" s="5">
        <f>MAX(Hit!D11,Stand!D11,Double!D11,Surrender!D11)</f>
        <v>-0.21106310899491437</v>
      </c>
      <c r="E11" s="5">
        <f>MAX(Hit!E11,Stand!E11,Double!E11,Surrender!E11)</f>
        <v>-0.16719266083547524</v>
      </c>
      <c r="F11" s="5">
        <f>MAX(Hit!F11,Stand!F11,Double!F11,Surrender!F11)</f>
        <v>-0.15369901583000439</v>
      </c>
      <c r="G11" s="5">
        <f>MAX(Hit!G11,Stand!G11,Double!G11,Surrender!G11)</f>
        <v>-0.26907287776607752</v>
      </c>
      <c r="H11" s="5">
        <f>MAX(Hit!H11,Stand!H11,Double!H11,Surrender!H11)</f>
        <v>-0.32360517609397998</v>
      </c>
      <c r="I11" s="5">
        <f>MAX(Hit!I11,Stand!I11,Double!I11,Surrender!I11)</f>
        <v>-0.38715518913686875</v>
      </c>
      <c r="J11" s="5">
        <f>MAX(Hit!J11,Stand!J11,Double!J11,Surrender!J11)</f>
        <v>-0.42525420764465277</v>
      </c>
      <c r="K11" s="5">
        <f>MAX(Hit!K11,Stand!K11,Double!K11,Surrender!K11)</f>
        <v>-0.3969303161229315</v>
      </c>
      <c r="M11" s="2">
        <v>13</v>
      </c>
      <c r="N11" s="2" t="str">
        <f>IF(B11=Stand!B11,"S",IF(B11=Double!B11,"D",IF(B11=Surrender!B11,"R","H")))</f>
        <v>S</v>
      </c>
      <c r="O11" s="2" t="str">
        <f>IF(C11=Stand!C11,"S",IF(C11=Double!C11,"D",IF(C11=Surrender!C11,"R","H")))</f>
        <v>S</v>
      </c>
      <c r="P11" s="2" t="str">
        <f>IF(D11=Stand!D11,"S",IF(D11=Double!D11,"D",IF(D11=Surrender!D11,"R","H")))</f>
        <v>S</v>
      </c>
      <c r="Q11" s="2" t="str">
        <f>IF(E11=Stand!E11,"S",IF(E11=Double!E11,"D",IF(E11=Surrender!E11,"R","H")))</f>
        <v>S</v>
      </c>
      <c r="R11" s="2" t="str">
        <f>IF(F11=Stand!F11,"S",IF(F11=Double!F11,"D",IF(F11=Surrender!F11,"R","H")))</f>
        <v>S</v>
      </c>
      <c r="S11" s="2" t="str">
        <f>IF(G11=Stand!G11,"S",IF(G11=Double!G11,"D",IF(G11=Surrender!G11,"R","H")))</f>
        <v>H</v>
      </c>
      <c r="T11" s="2" t="str">
        <f>IF(H11=Stand!H11,"S",IF(H11=Double!H11,"D",IF(H11=Surrender!H11,"R","H")))</f>
        <v>H</v>
      </c>
      <c r="U11" s="2" t="str">
        <f>IF(I11=Stand!I11,"S",IF(I11=Double!I11,"D",IF(I11=Surrender!I11,"R","H")))</f>
        <v>H</v>
      </c>
      <c r="V11" s="2" t="str">
        <f>IF(J11=Stand!J11,"S",IF(J11=Double!J11,"D",IF(J11=Surrender!J11,"R","H")))</f>
        <v>H</v>
      </c>
      <c r="W11" s="2" t="str">
        <f>IF(K11=Stand!K11,"S",IF(K11=Double!K11,"D",IF(K11=Surrender!K11,"R","H")))</f>
        <v>H</v>
      </c>
    </row>
    <row r="12" spans="1:23" ht="15.75" customHeight="1" x14ac:dyDescent="0.25">
      <c r="A12" s="5">
        <v>14</v>
      </c>
      <c r="B12" s="5">
        <f>MAX(Hit!B12,Stand!B12,Double!B12,Surrender!B12)</f>
        <v>-0.29278372720927726</v>
      </c>
      <c r="C12" s="5">
        <f>MAX(Hit!C12,Stand!C12,Double!C12,Surrender!C12)</f>
        <v>-0.2522502292357135</v>
      </c>
      <c r="D12" s="5">
        <f>MAX(Hit!D12,Stand!D12,Double!D12,Surrender!D12)</f>
        <v>-0.21106310899491437</v>
      </c>
      <c r="E12" s="5">
        <f>MAX(Hit!E12,Stand!E12,Double!E12,Surrender!E12)</f>
        <v>-0.16719266083547524</v>
      </c>
      <c r="F12" s="5">
        <f>MAX(Hit!F12,Stand!F12,Double!F12,Surrender!F12)</f>
        <v>-0.15369901583000439</v>
      </c>
      <c r="G12" s="5">
        <f>MAX(Hit!G12,Stand!G12,Double!G12,Surrender!G12)</f>
        <v>-0.3212819579256434</v>
      </c>
      <c r="H12" s="5">
        <f>MAX(Hit!H12,Stand!H12,Double!H12,Surrender!H12)</f>
        <v>-0.37191909208726709</v>
      </c>
      <c r="I12" s="5">
        <f>MAX(Hit!I12,Stand!I12,Double!I12,Surrender!I12)</f>
        <v>-0.43092981848423528</v>
      </c>
      <c r="J12" s="5">
        <f>MAX(Hit!J12,Stand!J12,Double!J12,Surrender!J12)</f>
        <v>-0.46630747852717758</v>
      </c>
      <c r="K12" s="5">
        <f>MAX(Hit!K12,Stand!K12,Double!K12,Surrender!K12)</f>
        <v>-0.44000672211415065</v>
      </c>
      <c r="M12" s="2">
        <v>14</v>
      </c>
      <c r="N12" s="2" t="str">
        <f>IF(B12=Stand!B12,"S",IF(B12=Double!B12,"D",IF(B12=Surrender!B12,"R","H")))</f>
        <v>S</v>
      </c>
      <c r="O12" s="2" t="str">
        <f>IF(C12=Stand!C12,"S",IF(C12=Double!C12,"D",IF(C12=Surrender!C12,"R","H")))</f>
        <v>S</v>
      </c>
      <c r="P12" s="2" t="str">
        <f>IF(D12=Stand!D12,"S",IF(D12=Double!D12,"D",IF(D12=Surrender!D12,"R","H")))</f>
        <v>S</v>
      </c>
      <c r="Q12" s="2" t="str">
        <f>IF(E12=Stand!E12,"S",IF(E12=Double!E12,"D",IF(E12=Surrender!E12,"R","H")))</f>
        <v>S</v>
      </c>
      <c r="R12" s="2" t="str">
        <f>IF(F12=Stand!F12,"S",IF(F12=Double!F12,"D",IF(F12=Surrender!F12,"R","H")))</f>
        <v>S</v>
      </c>
      <c r="S12" s="2" t="str">
        <f>IF(G12=Stand!G12,"S",IF(G12=Double!G12,"D",IF(G12=Surrender!G12,"R","H")))</f>
        <v>H</v>
      </c>
      <c r="T12" s="2" t="str">
        <f>IF(H12=Stand!H12,"S",IF(H12=Double!H12,"D",IF(H12=Surrender!H12,"R","H")))</f>
        <v>H</v>
      </c>
      <c r="U12" s="2" t="str">
        <f>IF(I12=Stand!I12,"S",IF(I12=Double!I12,"D",IF(I12=Surrender!I12,"R","H")))</f>
        <v>H</v>
      </c>
      <c r="V12" s="2" t="str">
        <f>IF(J12=Stand!J12,"S",IF(J12=Double!J12,"D",IF(J12=Surrender!J12,"R","H")))</f>
        <v>H</v>
      </c>
      <c r="W12" s="2" t="str">
        <f>IF(K12=Stand!K12,"S",IF(K12=Double!K12,"D",IF(K12=Surrender!K12,"R","H")))</f>
        <v>H</v>
      </c>
    </row>
    <row r="13" spans="1:23" ht="15.75" customHeight="1" x14ac:dyDescent="0.25">
      <c r="A13" s="5">
        <v>15</v>
      </c>
      <c r="B13" s="5">
        <f>MAX(Hit!B13,Stand!B13,Double!B13,Surrender!B13)</f>
        <v>-0.29278372720927726</v>
      </c>
      <c r="C13" s="5">
        <f>MAX(Hit!C13,Stand!C13,Double!C13,Surrender!C13)</f>
        <v>-0.2522502292357135</v>
      </c>
      <c r="D13" s="5">
        <f>MAX(Hit!D13,Stand!D13,Double!D13,Surrender!D13)</f>
        <v>-0.21106310899491437</v>
      </c>
      <c r="E13" s="5">
        <f>MAX(Hit!E13,Stand!E13,Double!E13,Surrender!E13)</f>
        <v>-0.16719266083547524</v>
      </c>
      <c r="F13" s="5">
        <f>MAX(Hit!F13,Stand!F13,Double!F13,Surrender!F13)</f>
        <v>-0.15369901583000439</v>
      </c>
      <c r="G13" s="5">
        <f>MAX(Hit!G13,Stand!G13,Double!G13,Surrender!G13)</f>
        <v>-0.36976181807381175</v>
      </c>
      <c r="H13" s="5">
        <f>MAX(Hit!H13,Stand!H13,Double!H13,Surrender!H13)</f>
        <v>-0.41678201408103371</v>
      </c>
      <c r="I13" s="5">
        <f>MAX(Hit!I13,Stand!I13,Double!I13,Surrender!I13)</f>
        <v>-0.47157768859250421</v>
      </c>
      <c r="J13" s="5">
        <f>MAX(Hit!J13,Stand!J13,Double!J13,Surrender!J13)</f>
        <v>-0.5</v>
      </c>
      <c r="K13" s="5">
        <f>MAX(Hit!K13,Stand!K13,Double!K13,Surrender!K13)</f>
        <v>-0.4800062419631399</v>
      </c>
      <c r="M13" s="2">
        <v>15</v>
      </c>
      <c r="N13" s="2" t="str">
        <f>IF(B13=Stand!B13,"S",IF(B13=Double!B13,"D",IF(B13=Surrender!B13,"R","H")))</f>
        <v>S</v>
      </c>
      <c r="O13" s="2" t="str">
        <f>IF(C13=Stand!C13,"S",IF(C13=Double!C13,"D",IF(C13=Surrender!C13,"R","H")))</f>
        <v>S</v>
      </c>
      <c r="P13" s="2" t="str">
        <f>IF(D13=Stand!D13,"S",IF(D13=Double!D13,"D",IF(D13=Surrender!D13,"R","H")))</f>
        <v>S</v>
      </c>
      <c r="Q13" s="2" t="str">
        <f>IF(E13=Stand!E13,"S",IF(E13=Double!E13,"D",IF(E13=Surrender!E13,"R","H")))</f>
        <v>S</v>
      </c>
      <c r="R13" s="2" t="str">
        <f>IF(F13=Stand!F13,"S",IF(F13=Double!F13,"D",IF(F13=Surrender!F13,"R","H")))</f>
        <v>S</v>
      </c>
      <c r="S13" s="2" t="str">
        <f>IF(G13=Stand!G13,"S",IF(G13=Double!G13,"D",IF(G13=Surrender!G13,"R","H")))</f>
        <v>H</v>
      </c>
      <c r="T13" s="2" t="str">
        <f>IF(H13=Stand!H13,"S",IF(H13=Double!H13,"D",IF(H13=Surrender!H13,"R","H")))</f>
        <v>H</v>
      </c>
      <c r="U13" s="2" t="str">
        <f>IF(I13=Stand!I13,"S",IF(I13=Double!I13,"D",IF(I13=Surrender!I13,"R","H")))</f>
        <v>H</v>
      </c>
      <c r="V13" s="2" t="str">
        <f>IF(J13=Stand!J13,"S",IF(J13=Double!J13,"D",IF(J13=Surrender!J13,"R","H")))</f>
        <v>R</v>
      </c>
      <c r="W13" s="2" t="str">
        <f>IF(K13=Stand!K13,"S",IF(K13=Double!K13,"D",IF(K13=Surrender!K13,"R","H")))</f>
        <v>H</v>
      </c>
    </row>
    <row r="14" spans="1:23" ht="15.75" customHeight="1" x14ac:dyDescent="0.25">
      <c r="A14" s="5">
        <v>16</v>
      </c>
      <c r="B14" s="5">
        <f>MAX(Hit!B14,Stand!B14,Double!B14,Surrender!B14)</f>
        <v>-0.29278372720927726</v>
      </c>
      <c r="C14" s="5">
        <f>MAX(Hit!C14,Stand!C14,Double!C14,Surrender!C14)</f>
        <v>-0.2522502292357135</v>
      </c>
      <c r="D14" s="5">
        <f>MAX(Hit!D14,Stand!D14,Double!D14,Surrender!D14)</f>
        <v>-0.21106310899491437</v>
      </c>
      <c r="E14" s="5">
        <f>MAX(Hit!E14,Stand!E14,Double!E14,Surrender!E14)</f>
        <v>-0.16719266083547524</v>
      </c>
      <c r="F14" s="5">
        <f>MAX(Hit!F14,Stand!F14,Double!F14,Surrender!F14)</f>
        <v>-0.15369901583000439</v>
      </c>
      <c r="G14" s="5">
        <f>MAX(Hit!G14,Stand!G14,Double!G14,Surrender!G14)</f>
        <v>-0.41477883106853947</v>
      </c>
      <c r="H14" s="5">
        <f>MAX(Hit!H14,Stand!H14,Double!H14,Surrender!H14)</f>
        <v>-0.45844044164667419</v>
      </c>
      <c r="I14" s="5">
        <f>MAX(Hit!I14,Stand!I14,Double!I14,Surrender!I14)</f>
        <v>-0.5</v>
      </c>
      <c r="J14" s="5">
        <f>MAX(Hit!J14,Stand!J14,Double!J14,Surrender!J14)</f>
        <v>-0.5</v>
      </c>
      <c r="K14" s="5">
        <f>MAX(Hit!K14,Stand!K14,Double!K14,Surrender!K14)</f>
        <v>-0.5</v>
      </c>
      <c r="M14" s="2">
        <v>16</v>
      </c>
      <c r="N14" s="2" t="str">
        <f>IF(B14=Stand!B14,"S",IF(B14=Double!B14,"D",IF(B14=Surrender!B14,"R","H")))</f>
        <v>S</v>
      </c>
      <c r="O14" s="2" t="str">
        <f>IF(C14=Stand!C14,"S",IF(C14=Double!C14,"D",IF(C14=Surrender!C14,"R","H")))</f>
        <v>S</v>
      </c>
      <c r="P14" s="2" t="str">
        <f>IF(D14=Stand!D14,"S",IF(D14=Double!D14,"D",IF(D14=Surrender!D14,"R","H")))</f>
        <v>S</v>
      </c>
      <c r="Q14" s="2" t="str">
        <f>IF(E14=Stand!E14,"S",IF(E14=Double!E14,"D",IF(E14=Surrender!E14,"R","H")))</f>
        <v>S</v>
      </c>
      <c r="R14" s="2" t="str">
        <f>IF(F14=Stand!F14,"S",IF(F14=Double!F14,"D",IF(F14=Surrender!F14,"R","H")))</f>
        <v>S</v>
      </c>
      <c r="S14" s="2" t="str">
        <f>IF(G14=Stand!G14,"S",IF(G14=Double!G14,"D",IF(G14=Surrender!G14,"R","H")))</f>
        <v>H</v>
      </c>
      <c r="T14" s="2" t="str">
        <f>IF(H14=Stand!H14,"S",IF(H14=Double!H14,"D",IF(H14=Surrender!H14,"R","H")))</f>
        <v>H</v>
      </c>
      <c r="U14" s="2" t="str">
        <f>IF(I14=Stand!I14,"S",IF(I14=Double!I14,"D",IF(I14=Surrender!I14,"R","H")))</f>
        <v>R</v>
      </c>
      <c r="V14" s="2" t="str">
        <f>IF(J14=Stand!J14,"S",IF(J14=Double!J14,"D",IF(J14=Surrender!J14,"R","H")))</f>
        <v>R</v>
      </c>
      <c r="W14" s="2" t="str">
        <f>IF(K14=Stand!K14,"S",IF(K14=Double!K14,"D",IF(K14=Surrender!K14,"R","H")))</f>
        <v>R</v>
      </c>
    </row>
    <row r="15" spans="1:23" ht="15.75" customHeight="1" x14ac:dyDescent="0.25">
      <c r="A15" s="5">
        <v>17</v>
      </c>
      <c r="B15" s="5">
        <f>MAX(Hit!B15,Stand!B15,Double!B15,Surrender!B15)</f>
        <v>-0.15297458768154204</v>
      </c>
      <c r="C15" s="5">
        <f>MAX(Hit!C15,Stand!C15,Double!C15,Surrender!C15)</f>
        <v>-0.11721624142457365</v>
      </c>
      <c r="D15" s="5">
        <f>MAX(Hit!D15,Stand!D15,Double!D15,Surrender!D15)</f>
        <v>-8.0573373145316152E-2</v>
      </c>
      <c r="E15" s="5">
        <f>MAX(Hit!E15,Stand!E15,Double!E15,Surrender!E15)</f>
        <v>-4.4941375564924446E-2</v>
      </c>
      <c r="F15" s="5">
        <f>MAX(Hit!F15,Stand!F15,Double!F15,Surrender!F15)</f>
        <v>1.1739160673341964E-2</v>
      </c>
      <c r="G15" s="5">
        <f>MAX(Hit!G15,Stand!G15,Double!G15,Surrender!G15)</f>
        <v>-0.10680898948269468</v>
      </c>
      <c r="H15" s="5">
        <f>MAX(Hit!H15,Stand!H15,Double!H15,Surrender!H15)</f>
        <v>-0.38195097104844711</v>
      </c>
      <c r="I15" s="5">
        <f>MAX(Hit!I15,Stand!I15,Double!I15,Surrender!I15)</f>
        <v>-0.42315423964521748</v>
      </c>
      <c r="J15" s="5">
        <f>MAX(Hit!J15,Stand!J15,Double!J15,Surrender!J15)</f>
        <v>-0.41972063392881986</v>
      </c>
      <c r="K15" s="5">
        <f>MAX(Hit!K15,Stand!K15,Double!K15,Surrender!K15)</f>
        <v>-0.47803347499473703</v>
      </c>
      <c r="M15" s="2">
        <v>17</v>
      </c>
      <c r="N15" s="2" t="str">
        <f>IF(B15=Stand!B15,"S",IF(B15=Double!B15,"D",IF(B15=Surrender!B15,"R","H")))</f>
        <v>S</v>
      </c>
      <c r="O15" s="2" t="str">
        <f>IF(C15=Stand!C15,"S",IF(C15=Double!C15,"D",IF(C15=Surrender!C15,"R","H")))</f>
        <v>S</v>
      </c>
      <c r="P15" s="2" t="str">
        <f>IF(D15=Stand!D15,"S",IF(D15=Double!D15,"D",IF(D15=Surrender!D15,"R","H")))</f>
        <v>S</v>
      </c>
      <c r="Q15" s="2" t="str">
        <f>IF(E15=Stand!E15,"S",IF(E15=Double!E15,"D",IF(E15=Surrender!E15,"R","H")))</f>
        <v>S</v>
      </c>
      <c r="R15" s="2" t="str">
        <f>IF(F15=Stand!F15,"S",IF(F15=Double!F15,"D",IF(F15=Surrender!F15,"R","H")))</f>
        <v>S</v>
      </c>
      <c r="S15" s="2" t="str">
        <f>IF(G15=Stand!G15,"S",IF(G15=Double!G15,"D",IF(G15=Surrender!G15,"R","H")))</f>
        <v>S</v>
      </c>
      <c r="T15" s="2" t="str">
        <f>IF(H15=Stand!H15,"S",IF(H15=Double!H15,"D",IF(H15=Surrender!H15,"R","H")))</f>
        <v>S</v>
      </c>
      <c r="U15" s="2" t="str">
        <f>IF(I15=Stand!I15,"S",IF(I15=Double!I15,"D",IF(I15=Surrender!I15,"R","H")))</f>
        <v>S</v>
      </c>
      <c r="V15" s="2" t="str">
        <f>IF(J15=Stand!J15,"S",IF(J15=Double!J15,"D",IF(J15=Surrender!J15,"R","H")))</f>
        <v>S</v>
      </c>
      <c r="W15" s="2" t="str">
        <f>IF(K15=Stand!K15,"S",IF(K15=Double!K15,"D",IF(K15=Surrender!K15,"R","H")))</f>
        <v>S</v>
      </c>
    </row>
    <row r="16" spans="1:23" ht="15.75" customHeight="1" x14ac:dyDescent="0.25">
      <c r="A16" s="5">
        <v>18</v>
      </c>
      <c r="B16" s="5">
        <f>MAX(Hit!B16,Stand!B16,Double!B16,Surrender!B16)</f>
        <v>0.12174190222088771</v>
      </c>
      <c r="C16" s="5">
        <f>MAX(Hit!C16,Stand!C16,Double!C16,Surrender!C16)</f>
        <v>0.14830007284131114</v>
      </c>
      <c r="D16" s="5">
        <f>MAX(Hit!D16,Stand!D16,Double!D16,Surrender!D16)</f>
        <v>0.17585443719748528</v>
      </c>
      <c r="E16" s="5">
        <f>MAX(Hit!E16,Stand!E16,Double!E16,Surrender!E16)</f>
        <v>0.19956119497617719</v>
      </c>
      <c r="F16" s="5">
        <f>MAX(Hit!F16,Stand!F16,Double!F16,Surrender!F16)</f>
        <v>0.28344391604689867</v>
      </c>
      <c r="G16" s="5">
        <f>MAX(Hit!G16,Stand!G16,Double!G16,Surrender!G16)</f>
        <v>0.3995541673365518</v>
      </c>
      <c r="H16" s="5">
        <f>MAX(Hit!H16,Stand!H16,Double!H16,Surrender!H16)</f>
        <v>0.10595134861912359</v>
      </c>
      <c r="I16" s="5">
        <f>MAX(Hit!I16,Stand!I16,Double!I16,Surrender!I16)</f>
        <v>-0.18316335667343342</v>
      </c>
      <c r="J16" s="5">
        <f>MAX(Hit!J16,Stand!J16,Double!J16,Surrender!J16)</f>
        <v>-0.17830123379648949</v>
      </c>
      <c r="K16" s="5">
        <f>MAX(Hit!K16,Stand!K16,Double!K16,Surrender!K16)</f>
        <v>-0.10019887561319057</v>
      </c>
      <c r="M16" s="2">
        <v>18</v>
      </c>
      <c r="N16" s="2" t="str">
        <f>IF(B16=Stand!B16,"S",IF(B16=Double!B16,"D",IF(B16=Surrender!B16,"R","H")))</f>
        <v>S</v>
      </c>
      <c r="O16" s="2" t="str">
        <f>IF(C16=Stand!C16,"S",IF(C16=Double!C16,"D",IF(C16=Surrender!C16,"R","H")))</f>
        <v>S</v>
      </c>
      <c r="P16" s="2" t="str">
        <f>IF(D16=Stand!D16,"S",IF(D16=Double!D16,"D",IF(D16=Surrender!D16,"R","H")))</f>
        <v>S</v>
      </c>
      <c r="Q16" s="2" t="str">
        <f>IF(E16=Stand!E16,"S",IF(E16=Double!E16,"D",IF(E16=Surrender!E16,"R","H")))</f>
        <v>S</v>
      </c>
      <c r="R16" s="2" t="str">
        <f>IF(F16=Stand!F16,"S",IF(F16=Double!F16,"D",IF(F16=Surrender!F16,"R","H")))</f>
        <v>S</v>
      </c>
      <c r="S16" s="2" t="str">
        <f>IF(G16=Stand!G16,"S",IF(G16=Double!G16,"D",IF(G16=Surrender!G16,"R","H")))</f>
        <v>S</v>
      </c>
      <c r="T16" s="2" t="str">
        <f>IF(H16=Stand!H16,"S",IF(H16=Double!H16,"D",IF(H16=Surrender!H16,"R","H")))</f>
        <v>S</v>
      </c>
      <c r="U16" s="2" t="str">
        <f>IF(I16=Stand!I16,"S",IF(I16=Double!I16,"D",IF(I16=Surrender!I16,"R","H")))</f>
        <v>S</v>
      </c>
      <c r="V16" s="2" t="str">
        <f>IF(J16=Stand!J16,"S",IF(J16=Double!J16,"D",IF(J16=Surrender!J16,"R","H")))</f>
        <v>S</v>
      </c>
      <c r="W16" s="2" t="str">
        <f>IF(K16=Stand!K16,"S",IF(K16=Double!K16,"D",IF(K16=Surrender!K16,"R","H")))</f>
        <v>S</v>
      </c>
    </row>
    <row r="17" spans="1:23" ht="15.75" customHeight="1" x14ac:dyDescent="0.25">
      <c r="A17" s="5">
        <v>19</v>
      </c>
      <c r="B17" s="5">
        <f>MAX(Hit!B17,Stand!B17,Double!B17,Surrender!B17)</f>
        <v>0.38630468602058993</v>
      </c>
      <c r="C17" s="5">
        <f>MAX(Hit!C17,Stand!C17,Double!C17,Surrender!C17)</f>
        <v>0.4043629365977599</v>
      </c>
      <c r="D17" s="5">
        <f>MAX(Hit!D17,Stand!D17,Double!D17,Surrender!D17)</f>
        <v>0.42317892482749653</v>
      </c>
      <c r="E17" s="5">
        <f>MAX(Hit!E17,Stand!E17,Double!E17,Surrender!E17)</f>
        <v>0.43951210416088371</v>
      </c>
      <c r="F17" s="5">
        <f>MAX(Hit!F17,Stand!F17,Double!F17,Surrender!F17)</f>
        <v>0.49597707378731926</v>
      </c>
      <c r="G17" s="5">
        <f>MAX(Hit!G17,Stand!G17,Double!G17,Surrender!G17)</f>
        <v>0.6159764957534315</v>
      </c>
      <c r="H17" s="5">
        <f>MAX(Hit!H17,Stand!H17,Double!H17,Surrender!H17)</f>
        <v>0.59385366828669439</v>
      </c>
      <c r="I17" s="5">
        <f>MAX(Hit!I17,Stand!I17,Double!I17,Surrender!I17)</f>
        <v>0.28759675706758148</v>
      </c>
      <c r="J17" s="5">
        <f>MAX(Hit!J17,Stand!J17,Double!J17,Surrender!J17)</f>
        <v>6.3118166335840831E-2</v>
      </c>
      <c r="K17" s="5">
        <f>MAX(Hit!K17,Stand!K17,Double!K17,Surrender!K17)</f>
        <v>0.27763572376835594</v>
      </c>
      <c r="M17" s="2">
        <v>19</v>
      </c>
      <c r="N17" s="2" t="str">
        <f>IF(B17=Stand!B17,"S",IF(B17=Double!B17,"D",IF(B17=Surrender!B17,"R","H")))</f>
        <v>S</v>
      </c>
      <c r="O17" s="2" t="str">
        <f>IF(C17=Stand!C17,"S",IF(C17=Double!C17,"D",IF(C17=Surrender!C17,"R","H")))</f>
        <v>S</v>
      </c>
      <c r="P17" s="2" t="str">
        <f>IF(D17=Stand!D17,"S",IF(D17=Double!D17,"D",IF(D17=Surrender!D17,"R","H")))</f>
        <v>S</v>
      </c>
      <c r="Q17" s="2" t="str">
        <f>IF(E17=Stand!E17,"S",IF(E17=Double!E17,"D",IF(E17=Surrender!E17,"R","H")))</f>
        <v>S</v>
      </c>
      <c r="R17" s="2" t="str">
        <f>IF(F17=Stand!F17,"S",IF(F17=Double!F17,"D",IF(F17=Surrender!F17,"R","H")))</f>
        <v>S</v>
      </c>
      <c r="S17" s="2" t="str">
        <f>IF(G17=Stand!G17,"S",IF(G17=Double!G17,"D",IF(G17=Surrender!G17,"R","H")))</f>
        <v>S</v>
      </c>
      <c r="T17" s="2" t="str">
        <f>IF(H17=Stand!H17,"S",IF(H17=Double!H17,"D",IF(H17=Surrender!H17,"R","H")))</f>
        <v>S</v>
      </c>
      <c r="U17" s="2" t="str">
        <f>IF(I17=Stand!I17,"S",IF(I17=Double!I17,"D",IF(I17=Surrender!I17,"R","H")))</f>
        <v>S</v>
      </c>
      <c r="V17" s="2" t="str">
        <f>IF(J17=Stand!J17,"S",IF(J17=Double!J17,"D",IF(J17=Surrender!J17,"R","H")))</f>
        <v>S</v>
      </c>
      <c r="W17" s="2" t="str">
        <f>IF(K17=Stand!K17,"S",IF(K17=Double!K17,"D",IF(K17=Surrender!K17,"R","H")))</f>
        <v>S</v>
      </c>
    </row>
    <row r="18" spans="1:23" ht="15.75" customHeight="1" x14ac:dyDescent="0.25">
      <c r="A18" s="5">
        <v>20</v>
      </c>
      <c r="B18" s="5">
        <f>MAX(Hit!B18,Stand!B18,Double!B18,Surrender!B18)</f>
        <v>0.63998657521683877</v>
      </c>
      <c r="C18" s="5">
        <f>MAX(Hit!C18,Stand!C18,Double!C18,Surrender!C18)</f>
        <v>0.65027209425148136</v>
      </c>
      <c r="D18" s="5">
        <f>MAX(Hit!D18,Stand!D18,Double!D18,Surrender!D18)</f>
        <v>0.66104996194807186</v>
      </c>
      <c r="E18" s="5">
        <f>MAX(Hit!E18,Stand!E18,Double!E18,Surrender!E18)</f>
        <v>0.67035969063279999</v>
      </c>
      <c r="F18" s="5">
        <f>MAX(Hit!F18,Stand!F18,Double!F18,Surrender!F18)</f>
        <v>0.70395857017134467</v>
      </c>
      <c r="G18" s="5">
        <f>MAX(Hit!G18,Stand!G18,Double!G18,Surrender!G18)</f>
        <v>0.77322722653717491</v>
      </c>
      <c r="H18" s="5">
        <f>MAX(Hit!H18,Stand!H18,Double!H18,Surrender!H18)</f>
        <v>0.79181515955189841</v>
      </c>
      <c r="I18" s="5">
        <f>MAX(Hit!I18,Stand!I18,Double!I18,Surrender!I18)</f>
        <v>0.75835687080859615</v>
      </c>
      <c r="J18" s="5">
        <f>MAX(Hit!J18,Stand!J18,Double!J18,Surrender!J18)</f>
        <v>0.55453756646817121</v>
      </c>
      <c r="K18" s="5">
        <f>MAX(Hit!K18,Stand!K18,Double!K18,Surrender!K18)</f>
        <v>0.65547032314990239</v>
      </c>
      <c r="M18" s="2">
        <v>20</v>
      </c>
      <c r="N18" s="2" t="str">
        <f>IF(B18=Stand!B18,"S",IF(B18=Double!B18,"D",IF(B18=Surrender!B18,"R","H")))</f>
        <v>S</v>
      </c>
      <c r="O18" s="2" t="str">
        <f>IF(C18=Stand!C18,"S",IF(C18=Double!C18,"D",IF(C18=Surrender!C18,"R","H")))</f>
        <v>S</v>
      </c>
      <c r="P18" s="2" t="str">
        <f>IF(D18=Stand!D18,"S",IF(D18=Double!D18,"D",IF(D18=Surrender!D18,"R","H")))</f>
        <v>S</v>
      </c>
      <c r="Q18" s="2" t="str">
        <f>IF(E18=Stand!E18,"S",IF(E18=Double!E18,"D",IF(E18=Surrender!E18,"R","H")))</f>
        <v>S</v>
      </c>
      <c r="R18" s="2" t="str">
        <f>IF(F18=Stand!F18,"S",IF(F18=Double!F18,"D",IF(F18=Surrender!F18,"R","H")))</f>
        <v>S</v>
      </c>
      <c r="S18" s="2" t="str">
        <f>IF(G18=Stand!G18,"S",IF(G18=Double!G18,"D",IF(G18=Surrender!G18,"R","H")))</f>
        <v>S</v>
      </c>
      <c r="T18" s="2" t="str">
        <f>IF(H18=Stand!H18,"S",IF(H18=Double!H18,"D",IF(H18=Surrender!H18,"R","H")))</f>
        <v>S</v>
      </c>
      <c r="U18" s="2" t="str">
        <f>IF(I18=Stand!I18,"S",IF(I18=Double!I18,"D",IF(I18=Surrender!I18,"R","H")))</f>
        <v>S</v>
      </c>
      <c r="V18" s="2" t="str">
        <f>IF(J18=Stand!J18,"S",IF(J18=Double!J18,"D",IF(J18=Surrender!J18,"R","H")))</f>
        <v>S</v>
      </c>
      <c r="W18" s="2" t="str">
        <f>IF(K18=Stand!K18,"S",IF(K18=Double!K18,"D",IF(K18=Surrender!K18,"R","H")))</f>
        <v>S</v>
      </c>
    </row>
    <row r="19" spans="1:23" ht="15.75" customHeight="1" x14ac:dyDescent="0.25">
      <c r="A19" s="5">
        <v>21</v>
      </c>
      <c r="B19" s="5">
        <f>MAX(Hit!B19,Stand!B19,Double!B19,Surrender!B19)</f>
        <v>0.88200651549403997</v>
      </c>
      <c r="C19" s="5">
        <f>MAX(Hit!C19,Stand!C19,Double!C19,Surrender!C19)</f>
        <v>0.88530035730174927</v>
      </c>
      <c r="D19" s="5">
        <f>MAX(Hit!D19,Stand!D19,Double!D19,Surrender!D19)</f>
        <v>0.88876729296591961</v>
      </c>
      <c r="E19" s="5">
        <f>MAX(Hit!E19,Stand!E19,Double!E19,Surrender!E19)</f>
        <v>0.89175382659528035</v>
      </c>
      <c r="F19" s="5">
        <f>MAX(Hit!F19,Stand!F19,Double!F19,Surrender!F19)</f>
        <v>0.90283674384258006</v>
      </c>
      <c r="G19" s="5">
        <f>MAX(Hit!G19,Stand!G19,Double!G19,Surrender!G19)</f>
        <v>0.92592629596452325</v>
      </c>
      <c r="H19" s="5">
        <f>MAX(Hit!H19,Stand!H19,Double!H19,Surrender!H19)</f>
        <v>0.93060505318396614</v>
      </c>
      <c r="I19" s="5">
        <f>MAX(Hit!I19,Stand!I19,Double!I19,Surrender!I19)</f>
        <v>0.93917615614724415</v>
      </c>
      <c r="J19" s="5">
        <f>MAX(Hit!J19,Stand!J19,Double!J19,Surrender!J19)</f>
        <v>0.96262363326716827</v>
      </c>
      <c r="K19" s="5">
        <f>MAX(Hit!K19,Stand!K19,Double!K19,Surrender!K19)</f>
        <v>0.92219381142033785</v>
      </c>
      <c r="M19" s="2">
        <v>21</v>
      </c>
      <c r="N19" s="2" t="str">
        <f>IF(B19=Stand!B19,"S",IF(B19=Double!B19,"D",IF(B19=Surrender!B19,"R","H")))</f>
        <v>S</v>
      </c>
      <c r="O19" s="2" t="str">
        <f>IF(C19=Stand!C19,"S",IF(C19=Double!C19,"D",IF(C19=Surrender!C19,"R","H")))</f>
        <v>S</v>
      </c>
      <c r="P19" s="2" t="str">
        <f>IF(D19=Stand!D19,"S",IF(D19=Double!D19,"D",IF(D19=Surrender!D19,"R","H")))</f>
        <v>S</v>
      </c>
      <c r="Q19" s="2" t="str">
        <f>IF(E19=Stand!E19,"S",IF(E19=Double!E19,"D",IF(E19=Surrender!E19,"R","H")))</f>
        <v>S</v>
      </c>
      <c r="R19" s="2" t="str">
        <f>IF(F19=Stand!F19,"S",IF(F19=Double!F19,"D",IF(F19=Surrender!F19,"R","H")))</f>
        <v>S</v>
      </c>
      <c r="S19" s="2" t="str">
        <f>IF(G19=Stand!G19,"S",IF(G19=Double!G19,"D",IF(G19=Surrender!G19,"R","H")))</f>
        <v>S</v>
      </c>
      <c r="T19" s="2" t="str">
        <f>IF(H19=Stand!H19,"S",IF(H19=Double!H19,"D",IF(H19=Surrender!H19,"R","H")))</f>
        <v>S</v>
      </c>
      <c r="U19" s="2" t="str">
        <f>IF(I19=Stand!I19,"S",IF(I19=Double!I19,"D",IF(I19=Surrender!I19,"R","H")))</f>
        <v>S</v>
      </c>
      <c r="V19" s="2" t="str">
        <f>IF(J19=Stand!J19,"S",IF(J19=Double!J19,"D",IF(J19=Surrender!J19,"R","H")))</f>
        <v>S</v>
      </c>
      <c r="W19" s="2" t="str">
        <f>IF(K19=Stand!K19,"S",IF(K19=Double!K19,"D",IF(K19=Surrender!K19,"R","H")))</f>
        <v>S</v>
      </c>
    </row>
    <row r="20" spans="1:23" ht="12.5" x14ac:dyDescent="0.25">
      <c r="A20" s="5">
        <v>22</v>
      </c>
      <c r="B20" s="5">
        <v>-1</v>
      </c>
      <c r="C20" s="5">
        <v>-1</v>
      </c>
      <c r="D20" s="5">
        <v>-1</v>
      </c>
      <c r="E20" s="5">
        <v>-1</v>
      </c>
      <c r="F20" s="5">
        <v>-1</v>
      </c>
      <c r="G20" s="5">
        <v>-1</v>
      </c>
      <c r="H20" s="5">
        <v>-1</v>
      </c>
      <c r="I20" s="5">
        <v>-1</v>
      </c>
      <c r="J20" s="5">
        <v>-1</v>
      </c>
      <c r="K20" s="5">
        <v>-1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2.5" x14ac:dyDescent="0.25">
      <c r="A21" s="5">
        <v>23</v>
      </c>
      <c r="B21" s="5">
        <v>-1</v>
      </c>
      <c r="C21" s="5">
        <v>-1</v>
      </c>
      <c r="D21" s="5">
        <v>-1</v>
      </c>
      <c r="E21" s="5">
        <v>-1</v>
      </c>
      <c r="F21" s="5">
        <v>-1</v>
      </c>
      <c r="G21" s="5">
        <v>-1</v>
      </c>
      <c r="H21" s="5">
        <v>-1</v>
      </c>
      <c r="I21" s="5">
        <v>-1</v>
      </c>
      <c r="J21" s="5">
        <v>-1</v>
      </c>
      <c r="K21" s="5">
        <v>-1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2.5" x14ac:dyDescent="0.25">
      <c r="A22" s="5">
        <v>24</v>
      </c>
      <c r="B22" s="5">
        <v>-1</v>
      </c>
      <c r="C22" s="5">
        <v>-1</v>
      </c>
      <c r="D22" s="5">
        <v>-1</v>
      </c>
      <c r="E22" s="5">
        <v>-1</v>
      </c>
      <c r="F22" s="5">
        <v>-1</v>
      </c>
      <c r="G22" s="5">
        <v>-1</v>
      </c>
      <c r="H22" s="5">
        <v>-1</v>
      </c>
      <c r="I22" s="5">
        <v>-1</v>
      </c>
      <c r="J22" s="5">
        <v>-1</v>
      </c>
      <c r="K22" s="5">
        <v>-1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2.5" x14ac:dyDescent="0.25">
      <c r="A23" s="5">
        <v>25</v>
      </c>
      <c r="B23" s="5">
        <v>-1</v>
      </c>
      <c r="C23" s="5">
        <v>-1</v>
      </c>
      <c r="D23" s="5">
        <v>-1</v>
      </c>
      <c r="E23" s="5">
        <v>-1</v>
      </c>
      <c r="F23" s="5">
        <v>-1</v>
      </c>
      <c r="G23" s="5">
        <v>-1</v>
      </c>
      <c r="H23" s="5">
        <v>-1</v>
      </c>
      <c r="I23" s="5">
        <v>-1</v>
      </c>
      <c r="J23" s="5">
        <v>-1</v>
      </c>
      <c r="K23" s="5">
        <v>-1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2.5" x14ac:dyDescent="0.25">
      <c r="A24" s="5">
        <v>26</v>
      </c>
      <c r="B24" s="5">
        <v>-1</v>
      </c>
      <c r="C24" s="5">
        <v>-1</v>
      </c>
      <c r="D24" s="5">
        <v>-1</v>
      </c>
      <c r="E24" s="5">
        <v>-1</v>
      </c>
      <c r="F24" s="5">
        <v>-1</v>
      </c>
      <c r="G24" s="5">
        <v>-1</v>
      </c>
      <c r="H24" s="5">
        <v>-1</v>
      </c>
      <c r="I24" s="5">
        <v>-1</v>
      </c>
      <c r="J24" s="5">
        <v>-1</v>
      </c>
      <c r="K24" s="5">
        <v>-1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2.5" x14ac:dyDescent="0.25">
      <c r="A25" s="5">
        <v>27</v>
      </c>
      <c r="B25" s="5">
        <v>-1</v>
      </c>
      <c r="C25" s="5">
        <v>-1</v>
      </c>
      <c r="D25" s="5">
        <v>-1</v>
      </c>
      <c r="E25" s="5">
        <v>-1</v>
      </c>
      <c r="F25" s="5">
        <v>-1</v>
      </c>
      <c r="G25" s="5">
        <v>-1</v>
      </c>
      <c r="H25" s="5">
        <v>-1</v>
      </c>
      <c r="I25" s="5">
        <v>-1</v>
      </c>
      <c r="J25" s="5">
        <v>-1</v>
      </c>
      <c r="K25" s="5">
        <v>-1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2.5" x14ac:dyDescent="0.25">
      <c r="A26" s="5">
        <v>28</v>
      </c>
      <c r="B26" s="5">
        <v>-1</v>
      </c>
      <c r="C26" s="5">
        <v>-1</v>
      </c>
      <c r="D26" s="5">
        <v>-1</v>
      </c>
      <c r="E26" s="5">
        <v>-1</v>
      </c>
      <c r="F26" s="5">
        <v>-1</v>
      </c>
      <c r="G26" s="5">
        <v>-1</v>
      </c>
      <c r="H26" s="5">
        <v>-1</v>
      </c>
      <c r="I26" s="5">
        <v>-1</v>
      </c>
      <c r="J26" s="5">
        <v>-1</v>
      </c>
      <c r="K26" s="5">
        <v>-1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2.5" x14ac:dyDescent="0.25">
      <c r="A27" s="5">
        <v>29</v>
      </c>
      <c r="B27" s="5">
        <v>-1</v>
      </c>
      <c r="C27" s="5">
        <v>-1</v>
      </c>
      <c r="D27" s="5">
        <v>-1</v>
      </c>
      <c r="E27" s="5">
        <v>-1</v>
      </c>
      <c r="F27" s="5">
        <v>-1</v>
      </c>
      <c r="G27" s="5">
        <v>-1</v>
      </c>
      <c r="H27" s="5">
        <v>-1</v>
      </c>
      <c r="I27" s="5">
        <v>-1</v>
      </c>
      <c r="J27" s="5">
        <v>-1</v>
      </c>
      <c r="K27" s="5">
        <v>-1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2.5" x14ac:dyDescent="0.25">
      <c r="A28" s="5">
        <v>30</v>
      </c>
      <c r="B28" s="5">
        <v>-1</v>
      </c>
      <c r="C28" s="5">
        <v>-1</v>
      </c>
      <c r="D28" s="5">
        <v>-1</v>
      </c>
      <c r="E28" s="5">
        <v>-1</v>
      </c>
      <c r="F28" s="5">
        <v>-1</v>
      </c>
      <c r="G28" s="5">
        <v>-1</v>
      </c>
      <c r="H28" s="5">
        <v>-1</v>
      </c>
      <c r="I28" s="5">
        <v>-1</v>
      </c>
      <c r="J28" s="5">
        <v>-1</v>
      </c>
      <c r="K28" s="5">
        <v>-1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2.5" x14ac:dyDescent="0.25">
      <c r="A29" s="5">
        <v>31</v>
      </c>
      <c r="B29" s="5">
        <v>-1</v>
      </c>
      <c r="C29" s="5">
        <v>-1</v>
      </c>
      <c r="D29" s="5">
        <v>-1</v>
      </c>
      <c r="E29" s="5">
        <v>-1</v>
      </c>
      <c r="F29" s="5">
        <v>-1</v>
      </c>
      <c r="G29" s="5">
        <v>-1</v>
      </c>
      <c r="H29" s="5">
        <v>-1</v>
      </c>
      <c r="I29" s="5">
        <v>-1</v>
      </c>
      <c r="J29" s="5">
        <v>-1</v>
      </c>
      <c r="K29" s="5">
        <v>-1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2.5" x14ac:dyDescent="0.25"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2.5" x14ac:dyDescent="0.25">
      <c r="A31" s="5" t="s">
        <v>6</v>
      </c>
      <c r="M31" s="2" t="s">
        <v>6</v>
      </c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2.5" x14ac:dyDescent="0.25">
      <c r="A32" s="5">
        <v>12</v>
      </c>
      <c r="B32" s="5">
        <f>MAX(Hit!B32,Stand!B32,Double!B32,Surrender!B32)</f>
        <v>8.1836216051656058E-2</v>
      </c>
      <c r="C32" s="5">
        <f>MAX(Hit!C32,Stand!C32,Double!C32,Surrender!C32)</f>
        <v>0.10350704654207775</v>
      </c>
      <c r="D32" s="5">
        <f>MAX(Hit!D32,Stand!D32,Double!D32,Surrender!D32)</f>
        <v>0.12659562809256977</v>
      </c>
      <c r="E32" s="5">
        <f>MAX(Hit!E32,Stand!E32,Double!E32,Surrender!E32)</f>
        <v>0.15648238458465519</v>
      </c>
      <c r="F32" s="5">
        <f>MAX(Hit!F32,Stand!F32,Double!F32,Surrender!F32)</f>
        <v>0.18595361333225555</v>
      </c>
      <c r="G32" s="5">
        <f>MAX(Hit!G32,Stand!G32,Double!G32,Surrender!G32)</f>
        <v>0.16547293077063494</v>
      </c>
      <c r="H32" s="5">
        <f>MAX(Hit!H32,Stand!H32,Double!H32,Surrender!H32)</f>
        <v>9.5115020927032307E-2</v>
      </c>
      <c r="I32" s="5">
        <f>MAX(Hit!I32,Stand!I32,Double!I32,Surrender!I32)</f>
        <v>6.579084122688022E-5</v>
      </c>
      <c r="J32" s="5">
        <f>MAX(Hit!J32,Stand!J32,Double!J32,Surrender!J32)</f>
        <v>-7.0002397357964638E-2</v>
      </c>
      <c r="K32" s="5">
        <f>MAX(Hit!K32,Stand!K32,Double!K32,Surrender!K32)</f>
        <v>-2.0477877704912145E-2</v>
      </c>
      <c r="M32" s="2">
        <v>12</v>
      </c>
      <c r="N32" s="2" t="str">
        <f>IF(B32=Stand!B32,"S",IF(B32=Double!B32,"D",IF(B32=Surrender!B32,"R","H")))</f>
        <v>H</v>
      </c>
      <c r="O32" s="2" t="str">
        <f>IF(C32=Stand!C32,"S",IF(C32=Double!C32,"D",IF(C32=Surrender!C32,"R","H")))</f>
        <v>H</v>
      </c>
      <c r="P32" s="2" t="str">
        <f>IF(D32=Stand!D32,"S",IF(D32=Double!D32,"D",IF(D32=Surrender!D32,"R","H")))</f>
        <v>H</v>
      </c>
      <c r="Q32" s="2" t="str">
        <f>IF(E32=Stand!E32,"S",IF(E32=Double!E32,"D",IF(E32=Surrender!E32,"R","H")))</f>
        <v>H</v>
      </c>
      <c r="R32" s="2" t="str">
        <f>IF(F32=Stand!F32,"S",IF(F32=Double!F32,"D",IF(F32=Surrender!F32,"R","H")))</f>
        <v>H</v>
      </c>
      <c r="S32" s="2" t="str">
        <f>IF(G32=Stand!G32,"S",IF(G32=Double!G32,"D",IF(G32=Surrender!G32,"R","H")))</f>
        <v>H</v>
      </c>
      <c r="T32" s="2" t="str">
        <f>IF(H32=Stand!H32,"S",IF(H32=Double!H32,"D",IF(H32=Surrender!H32,"R","H")))</f>
        <v>H</v>
      </c>
      <c r="U32" s="2" t="str">
        <f>IF(I32=Stand!I32,"S",IF(I32=Double!I32,"D",IF(I32=Surrender!I32,"R","H")))</f>
        <v>H</v>
      </c>
      <c r="V32" s="2" t="str">
        <f>IF(J32=Stand!J32,"S",IF(J32=Double!J32,"D",IF(J32=Surrender!J32,"R","H")))</f>
        <v>H</v>
      </c>
      <c r="W32" s="2" t="str">
        <f>IF(K32=Stand!K32,"S",IF(K32=Double!K32,"D",IF(K32=Surrender!K32,"R","H")))</f>
        <v>H</v>
      </c>
    </row>
    <row r="33" spans="1:23" ht="12.5" x14ac:dyDescent="0.25">
      <c r="A33" s="5">
        <v>13</v>
      </c>
      <c r="B33" s="5">
        <f>MAX(Hit!B33,Stand!B33,Double!B33,Surrender!B33)</f>
        <v>4.6636132695309578E-2</v>
      </c>
      <c r="C33" s="5">
        <f>MAX(Hit!C33,Stand!C33,Double!C33,Surrender!C33)</f>
        <v>7.4118813392744051E-2</v>
      </c>
      <c r="D33" s="5">
        <f>MAX(Hit!D33,Stand!D33,Double!D33,Surrender!D33)</f>
        <v>0.10247714687203523</v>
      </c>
      <c r="E33" s="5">
        <f>MAX(Hit!E33,Stand!E33,Double!E33,Surrender!E33)</f>
        <v>0.13336273848321728</v>
      </c>
      <c r="F33" s="5">
        <f>MAX(Hit!F33,Stand!F33,Double!F33,Surrender!F33)</f>
        <v>0.17974820582791531</v>
      </c>
      <c r="G33" s="5">
        <f>MAX(Hit!G33,Stand!G33,Double!G33,Surrender!G33)</f>
        <v>0.12238569517899196</v>
      </c>
      <c r="H33" s="5">
        <f>MAX(Hit!H33,Stand!H33,Double!H33,Surrender!H33)</f>
        <v>5.4057070196311299E-2</v>
      </c>
      <c r="I33" s="5">
        <f>MAX(Hit!I33,Stand!I33,Double!I33,Surrender!I33)</f>
        <v>-3.7694688127479899E-2</v>
      </c>
      <c r="J33" s="5">
        <f>MAX(Hit!J33,Stand!J33,Double!J33,Surrender!J33)</f>
        <v>-0.10485135840627777</v>
      </c>
      <c r="K33" s="5">
        <f>MAX(Hit!K33,Stand!K33,Double!K33,Surrender!K33)</f>
        <v>-5.7308046666810254E-2</v>
      </c>
      <c r="M33" s="2">
        <v>13</v>
      </c>
      <c r="N33" s="2" t="str">
        <f>IF(B33=Stand!B33,"S",IF(B33=Double!B33,"D",IF(B33=Surrender!B33,"R","H")))</f>
        <v>H</v>
      </c>
      <c r="O33" s="2" t="str">
        <f>IF(C33=Stand!C33,"S",IF(C33=Double!C33,"D",IF(C33=Surrender!C33,"R","H")))</f>
        <v>H</v>
      </c>
      <c r="P33" s="2" t="str">
        <f>IF(D33=Stand!D33,"S",IF(D33=Double!D33,"D",IF(D33=Surrender!D33,"R","H")))</f>
        <v>H</v>
      </c>
      <c r="Q33" s="2" t="str">
        <f>IF(E33=Stand!E33,"S",IF(E33=Double!E33,"D",IF(E33=Surrender!E33,"R","H")))</f>
        <v>H</v>
      </c>
      <c r="R33" s="2" t="str">
        <f>IF(F33=Stand!F33,"S",IF(F33=Double!F33,"D",IF(F33=Surrender!F33,"R","H")))</f>
        <v>D</v>
      </c>
      <c r="S33" s="2" t="str">
        <f>IF(G33=Stand!G33,"S",IF(G33=Double!G33,"D",IF(G33=Surrender!G33,"R","H")))</f>
        <v>H</v>
      </c>
      <c r="T33" s="2" t="str">
        <f>IF(H33=Stand!H33,"S",IF(H33=Double!H33,"D",IF(H33=Surrender!H33,"R","H")))</f>
        <v>H</v>
      </c>
      <c r="U33" s="2" t="str">
        <f>IF(I33=Stand!I33,"S",IF(I33=Double!I33,"D",IF(I33=Surrender!I33,"R","H")))</f>
        <v>H</v>
      </c>
      <c r="V33" s="2" t="str">
        <f>IF(J33=Stand!J33,"S",IF(J33=Double!J33,"D",IF(J33=Surrender!J33,"R","H")))</f>
        <v>H</v>
      </c>
      <c r="W33" s="2" t="str">
        <f>IF(K33=Stand!K33,"S",IF(K33=Double!K33,"D",IF(K33=Surrender!K33,"R","H")))</f>
        <v>H</v>
      </c>
    </row>
    <row r="34" spans="1:23" ht="12.5" x14ac:dyDescent="0.25">
      <c r="A34" s="5">
        <v>14</v>
      </c>
      <c r="B34" s="5">
        <f>MAX(Hit!B34,Stand!B34,Double!B34,Surrender!B34)</f>
        <v>2.2391856987839083E-2</v>
      </c>
      <c r="C34" s="5">
        <f>MAX(Hit!C34,Stand!C34,Double!C34,Surrender!C34)</f>
        <v>5.0806738919282814E-2</v>
      </c>
      <c r="D34" s="5">
        <f>MAX(Hit!D34,Stand!D34,Double!D34,Surrender!D34)</f>
        <v>8.0081414310110233E-2</v>
      </c>
      <c r="E34" s="5">
        <f>MAX(Hit!E34,Stand!E34,Double!E34,Surrender!E34)</f>
        <v>0.12595448524867925</v>
      </c>
      <c r="F34" s="5">
        <f>MAX(Hit!F34,Stand!F34,Double!F34,Surrender!F34)</f>
        <v>0.17974820582791531</v>
      </c>
      <c r="G34" s="5">
        <f>MAX(Hit!G34,Stand!G34,Double!G34,Surrender!G34)</f>
        <v>7.9507488494468148E-2</v>
      </c>
      <c r="H34" s="5">
        <f>MAX(Hit!H34,Stand!H34,Double!H34,Surrender!H34)</f>
        <v>1.3277219463208461E-2</v>
      </c>
      <c r="I34" s="5">
        <f>MAX(Hit!I34,Stand!I34,Double!I34,Surrender!I34)</f>
        <v>-7.5163189441683848E-2</v>
      </c>
      <c r="J34" s="5">
        <f>MAX(Hit!J34,Stand!J34,Double!J34,Surrender!J34)</f>
        <v>-0.1394667821754545</v>
      </c>
      <c r="K34" s="5">
        <f>MAX(Hit!K34,Stand!K34,Double!K34,Surrender!K34)</f>
        <v>-9.3874324768310105E-2</v>
      </c>
      <c r="M34" s="2">
        <v>14</v>
      </c>
      <c r="N34" s="2" t="str">
        <f>IF(B34=Stand!B34,"S",IF(B34=Double!B34,"D",IF(B34=Surrender!B34,"R","H")))</f>
        <v>H</v>
      </c>
      <c r="O34" s="2" t="str">
        <f>IF(C34=Stand!C34,"S",IF(C34=Double!C34,"D",IF(C34=Surrender!C34,"R","H")))</f>
        <v>H</v>
      </c>
      <c r="P34" s="2" t="str">
        <f>IF(D34=Stand!D34,"S",IF(D34=Double!D34,"D",IF(D34=Surrender!D34,"R","H")))</f>
        <v>H</v>
      </c>
      <c r="Q34" s="2" t="str">
        <f>IF(E34=Stand!E34,"S",IF(E34=Double!E34,"D",IF(E34=Surrender!E34,"R","H")))</f>
        <v>D</v>
      </c>
      <c r="R34" s="2" t="str">
        <f>IF(F34=Stand!F34,"S",IF(F34=Double!F34,"D",IF(F34=Surrender!F34,"R","H")))</f>
        <v>D</v>
      </c>
      <c r="S34" s="2" t="str">
        <f>IF(G34=Stand!G34,"S",IF(G34=Double!G34,"D",IF(G34=Surrender!G34,"R","H")))</f>
        <v>H</v>
      </c>
      <c r="T34" s="2" t="str">
        <f>IF(H34=Stand!H34,"S",IF(H34=Double!H34,"D",IF(H34=Surrender!H34,"R","H")))</f>
        <v>H</v>
      </c>
      <c r="U34" s="2" t="str">
        <f>IF(I34=Stand!I34,"S",IF(I34=Double!I34,"D",IF(I34=Surrender!I34,"R","H")))</f>
        <v>H</v>
      </c>
      <c r="V34" s="2" t="str">
        <f>IF(J34=Stand!J34,"S",IF(J34=Double!J34,"D",IF(J34=Surrender!J34,"R","H")))</f>
        <v>H</v>
      </c>
      <c r="W34" s="2" t="str">
        <f>IF(K34=Stand!K34,"S",IF(K34=Double!K34,"D",IF(K34=Surrender!K34,"R","H")))</f>
        <v>H</v>
      </c>
    </row>
    <row r="35" spans="1:23" ht="12.5" x14ac:dyDescent="0.25">
      <c r="A35" s="5">
        <v>15</v>
      </c>
      <c r="B35" s="5">
        <f>MAX(Hit!B35,Stand!B35,Double!B35,Surrender!B35)</f>
        <v>-1.2068474052636583E-4</v>
      </c>
      <c r="C35" s="5">
        <f>MAX(Hit!C35,Stand!C35,Double!C35,Surrender!C35)</f>
        <v>2.9159812622497332E-2</v>
      </c>
      <c r="D35" s="5">
        <f>MAX(Hit!D35,Stand!D35,Double!D35,Surrender!D35)</f>
        <v>5.9285376931179926E-2</v>
      </c>
      <c r="E35" s="5">
        <f>MAX(Hit!E35,Stand!E35,Double!E35,Surrender!E35)</f>
        <v>0.12595448524867925</v>
      </c>
      <c r="F35" s="5">
        <f>MAX(Hit!F35,Stand!F35,Double!F35,Surrender!F35)</f>
        <v>0.17974820582791531</v>
      </c>
      <c r="G35" s="5">
        <f>MAX(Hit!G35,Stand!G35,Double!G35,Surrender!G35)</f>
        <v>3.7028282279269235E-2</v>
      </c>
      <c r="H35" s="5">
        <f>MAX(Hit!H35,Stand!H35,Double!H35,Surrender!H35)</f>
        <v>-2.7054780502901658E-2</v>
      </c>
      <c r="I35" s="5">
        <f>MAX(Hit!I35,Stand!I35,Double!I35,Surrender!I35)</f>
        <v>-0.11218876868994292</v>
      </c>
      <c r="J35" s="5">
        <f>MAX(Hit!J35,Stand!J35,Double!J35,Surrender!J35)</f>
        <v>-0.17370423031226784</v>
      </c>
      <c r="K35" s="5">
        <f>MAX(Hit!K35,Stand!K35,Double!K35,Surrender!K35)</f>
        <v>-0.13002650167843849</v>
      </c>
      <c r="M35" s="2">
        <v>15</v>
      </c>
      <c r="N35" s="2" t="str">
        <f>IF(B35=Stand!B35,"S",IF(B35=Double!B35,"D",IF(B35=Surrender!B35,"R","H")))</f>
        <v>H</v>
      </c>
      <c r="O35" s="2" t="str">
        <f>IF(C35=Stand!C35,"S",IF(C35=Double!C35,"D",IF(C35=Surrender!C35,"R","H")))</f>
        <v>H</v>
      </c>
      <c r="P35" s="2" t="str">
        <f>IF(D35=Stand!D35,"S",IF(D35=Double!D35,"D",IF(D35=Surrender!D35,"R","H")))</f>
        <v>H</v>
      </c>
      <c r="Q35" s="2" t="str">
        <f>IF(E35=Stand!E35,"S",IF(E35=Double!E35,"D",IF(E35=Surrender!E35,"R","H")))</f>
        <v>D</v>
      </c>
      <c r="R35" s="2" t="str">
        <f>IF(F35=Stand!F35,"S",IF(F35=Double!F35,"D",IF(F35=Surrender!F35,"R","H")))</f>
        <v>D</v>
      </c>
      <c r="S35" s="2" t="str">
        <f>IF(G35=Stand!G35,"S",IF(G35=Double!G35,"D",IF(G35=Surrender!G35,"R","H")))</f>
        <v>H</v>
      </c>
      <c r="T35" s="2" t="str">
        <f>IF(H35=Stand!H35,"S",IF(H35=Double!H35,"D",IF(H35=Surrender!H35,"R","H")))</f>
        <v>H</v>
      </c>
      <c r="U35" s="2" t="str">
        <f>IF(I35=Stand!I35,"S",IF(I35=Double!I35,"D",IF(I35=Surrender!I35,"R","H")))</f>
        <v>H</v>
      </c>
      <c r="V35" s="2" t="str">
        <f>IF(J35=Stand!J35,"S",IF(J35=Double!J35,"D",IF(J35=Surrender!J35,"R","H")))</f>
        <v>H</v>
      </c>
      <c r="W35" s="2" t="str">
        <f>IF(K35=Stand!K35,"S",IF(K35=Double!K35,"D",IF(K35=Surrender!K35,"R","H")))</f>
        <v>H</v>
      </c>
    </row>
    <row r="36" spans="1:23" ht="12.5" x14ac:dyDescent="0.25">
      <c r="A36" s="5">
        <v>16</v>
      </c>
      <c r="B36" s="5">
        <f>MAX(Hit!B36,Stand!B36,Double!B36,Surrender!B36)</f>
        <v>-2.1025187774008566E-2</v>
      </c>
      <c r="C36" s="5">
        <f>MAX(Hit!C36,Stand!C36,Double!C36,Surrender!C36)</f>
        <v>9.0590953469108244E-3</v>
      </c>
      <c r="D36" s="5">
        <f>MAX(Hit!D36,Stand!D36,Double!D36,Surrender!D36)</f>
        <v>5.8426518743744951E-2</v>
      </c>
      <c r="E36" s="5">
        <f>MAX(Hit!E36,Stand!E36,Double!E36,Surrender!E36)</f>
        <v>0.12595448524867925</v>
      </c>
      <c r="F36" s="5">
        <f>MAX(Hit!F36,Stand!F36,Double!F36,Surrender!F36)</f>
        <v>0.17974820582791523</v>
      </c>
      <c r="G36" s="5">
        <f>MAX(Hit!G36,Stand!G36,Double!G36,Surrender!G36)</f>
        <v>-4.8901571730158942E-3</v>
      </c>
      <c r="H36" s="5">
        <f>MAX(Hit!H36,Stand!H36,Double!H36,Surrender!H36)</f>
        <v>-6.6794847920094089E-2</v>
      </c>
      <c r="I36" s="5">
        <f>MAX(Hit!I36,Stand!I36,Double!I36,Surrender!I36)</f>
        <v>-0.14864353463007476</v>
      </c>
      <c r="J36" s="5">
        <f>MAX(Hit!J36,Stand!J36,Double!J36,Surrender!J36)</f>
        <v>-0.20744109003068206</v>
      </c>
      <c r="K36" s="5">
        <f>MAX(Hit!K36,Stand!K36,Double!K36,Surrender!K36)</f>
        <v>-0.16563717206687348</v>
      </c>
      <c r="M36" s="2">
        <v>16</v>
      </c>
      <c r="N36" s="2" t="str">
        <f>IF(B36=Stand!B36,"S",IF(B36=Double!B36,"D",IF(B36=Surrender!B36,"R","H")))</f>
        <v>H</v>
      </c>
      <c r="O36" s="2" t="str">
        <f>IF(C36=Stand!C36,"S",IF(C36=Double!C36,"D",IF(C36=Surrender!C36,"R","H")))</f>
        <v>H</v>
      </c>
      <c r="P36" s="2" t="str">
        <f>IF(D36=Stand!D36,"S",IF(D36=Double!D36,"D",IF(D36=Surrender!D36,"R","H")))</f>
        <v>D</v>
      </c>
      <c r="Q36" s="2" t="str">
        <f>IF(E36=Stand!E36,"S",IF(E36=Double!E36,"D",IF(E36=Surrender!E36,"R","H")))</f>
        <v>D</v>
      </c>
      <c r="R36" s="2" t="str">
        <f>IF(F36=Stand!F36,"S",IF(F36=Double!F36,"D",IF(F36=Surrender!F36,"R","H")))</f>
        <v>D</v>
      </c>
      <c r="S36" s="2" t="str">
        <f>IF(G36=Stand!G36,"S",IF(G36=Double!G36,"D",IF(G36=Surrender!G36,"R","H")))</f>
        <v>H</v>
      </c>
      <c r="T36" s="2" t="str">
        <f>IF(H36=Stand!H36,"S",IF(H36=Double!H36,"D",IF(H36=Surrender!H36,"R","H")))</f>
        <v>H</v>
      </c>
      <c r="U36" s="2" t="str">
        <f>IF(I36=Stand!I36,"S",IF(I36=Double!I36,"D",IF(I36=Surrender!I36,"R","H")))</f>
        <v>H</v>
      </c>
      <c r="V36" s="2" t="str">
        <f>IF(J36=Stand!J36,"S",IF(J36=Double!J36,"D",IF(J36=Surrender!J36,"R","H")))</f>
        <v>H</v>
      </c>
      <c r="W36" s="2" t="str">
        <f>IF(K36=Stand!K36,"S",IF(K36=Double!K36,"D",IF(K36=Surrender!K36,"R","H")))</f>
        <v>H</v>
      </c>
    </row>
    <row r="37" spans="1:23" ht="12.5" x14ac:dyDescent="0.25">
      <c r="A37" s="5">
        <v>17</v>
      </c>
      <c r="B37" s="5">
        <f>MAX(Hit!B37,Stand!B37,Double!B37,Surrender!B37)</f>
        <v>-4.9104358288912882E-4</v>
      </c>
      <c r="C37" s="5">
        <f>MAX(Hit!C37,Stand!C37,Double!C37,Surrender!C37)</f>
        <v>5.5095284479298269E-2</v>
      </c>
      <c r="D37" s="5">
        <f>MAX(Hit!D37,Stand!D37,Double!D37,Surrender!D37)</f>
        <v>0.11865255067432869</v>
      </c>
      <c r="E37" s="5">
        <f>MAX(Hit!E37,Stand!E37,Double!E37,Surrender!E37)</f>
        <v>0.18237815537354879</v>
      </c>
      <c r="F37" s="5">
        <f>MAX(Hit!F37,Stand!F37,Double!F37,Surrender!F37)</f>
        <v>0.25610428729099821</v>
      </c>
      <c r="G37" s="5">
        <f>MAX(Hit!G37,Stand!G37,Double!G37,Surrender!G37)</f>
        <v>5.3823463716116654E-2</v>
      </c>
      <c r="H37" s="5">
        <f>MAX(Hit!H37,Stand!H37,Double!H37,Surrender!H37)</f>
        <v>-7.2915398729642061E-2</v>
      </c>
      <c r="I37" s="5">
        <f>MAX(Hit!I37,Stand!I37,Double!I37,Surrender!I37)</f>
        <v>-0.14978689218213329</v>
      </c>
      <c r="J37" s="5">
        <f>MAX(Hit!J37,Stand!J37,Double!J37,Surrender!J37)</f>
        <v>-0.19686697623363469</v>
      </c>
      <c r="K37" s="5">
        <f>MAX(Hit!K37,Stand!K37,Double!K37,Surrender!K37)</f>
        <v>-0.17956936979241733</v>
      </c>
      <c r="M37" s="2">
        <v>17</v>
      </c>
      <c r="N37" s="2" t="str">
        <f>IF(B37=Stand!B37,"S",IF(B37=Double!B37,"D",IF(B37=Surrender!B37,"R","H")))</f>
        <v>H</v>
      </c>
      <c r="O37" s="2" t="str">
        <f>IF(C37=Stand!C37,"S",IF(C37=Double!C37,"D",IF(C37=Surrender!C37,"R","H")))</f>
        <v>D</v>
      </c>
      <c r="P37" s="2" t="str">
        <f>IF(D37=Stand!D37,"S",IF(D37=Double!D37,"D",IF(D37=Surrender!D37,"R","H")))</f>
        <v>D</v>
      </c>
      <c r="Q37" s="2" t="str">
        <f>IF(E37=Stand!E37,"S",IF(E37=Double!E37,"D",IF(E37=Surrender!E37,"R","H")))</f>
        <v>D</v>
      </c>
      <c r="R37" s="2" t="str">
        <f>IF(F37=Stand!F37,"S",IF(F37=Double!F37,"D",IF(F37=Surrender!F37,"R","H")))</f>
        <v>D</v>
      </c>
      <c r="S37" s="2" t="str">
        <f>IF(G37=Stand!G37,"S",IF(G37=Double!G37,"D",IF(G37=Surrender!G37,"R","H")))</f>
        <v>H</v>
      </c>
      <c r="T37" s="2" t="str">
        <f>IF(H37=Stand!H37,"S",IF(H37=Double!H37,"D",IF(H37=Surrender!H37,"R","H")))</f>
        <v>H</v>
      </c>
      <c r="U37" s="2" t="str">
        <f>IF(I37=Stand!I37,"S",IF(I37=Double!I37,"D",IF(I37=Surrender!I37,"R","H")))</f>
        <v>H</v>
      </c>
      <c r="V37" s="2" t="str">
        <f>IF(J37=Stand!J37,"S",IF(J37=Double!J37,"D",IF(J37=Surrender!J37,"R","H")))</f>
        <v>H</v>
      </c>
      <c r="W37" s="2" t="str">
        <f>IF(K37=Stand!K37,"S",IF(K37=Double!K37,"D",IF(K37=Surrender!K37,"R","H")))</f>
        <v>H</v>
      </c>
    </row>
    <row r="38" spans="1:23" ht="12.5" x14ac:dyDescent="0.25">
      <c r="A38" s="5">
        <v>18</v>
      </c>
      <c r="B38" s="5">
        <f>MAX(Hit!B38,Stand!B38,Double!B38,Surrender!B38)</f>
        <v>0.12174190222088771</v>
      </c>
      <c r="C38" s="5">
        <f>MAX(Hit!C38,Stand!C38,Double!C38,Surrender!C38)</f>
        <v>0.1776412756789375</v>
      </c>
      <c r="D38" s="5">
        <f>MAX(Hit!D38,Stand!D38,Double!D38,Surrender!D38)</f>
        <v>0.23700384775562167</v>
      </c>
      <c r="E38" s="5">
        <f>MAX(Hit!E38,Stand!E38,Double!E38,Surrender!E38)</f>
        <v>0.29522549562328804</v>
      </c>
      <c r="F38" s="5">
        <f>MAX(Hit!F38,Stand!F38,Double!F38,Surrender!F38)</f>
        <v>0.38150648207879362</v>
      </c>
      <c r="G38" s="5">
        <f>MAX(Hit!G38,Stand!G38,Double!G38,Surrender!G38)</f>
        <v>0.3995541673365518</v>
      </c>
      <c r="H38" s="5">
        <f>MAX(Hit!H38,Stand!H38,Double!H38,Surrender!H38)</f>
        <v>0.10595134861912359</v>
      </c>
      <c r="I38" s="5">
        <f>MAX(Hit!I38,Stand!I38,Double!I38,Surrender!I38)</f>
        <v>-0.10074430758041525</v>
      </c>
      <c r="J38" s="5">
        <f>MAX(Hit!J38,Stand!J38,Double!J38,Surrender!J38)</f>
        <v>-0.14380812317405353</v>
      </c>
      <c r="K38" s="5">
        <f>MAX(Hit!K38,Stand!K38,Double!K38,Surrender!K38)</f>
        <v>-9.2935491769284034E-2</v>
      </c>
      <c r="M38" s="2">
        <v>18</v>
      </c>
      <c r="N38" s="2" t="str">
        <f>IF(B38=Stand!B38,"S",IF(B38=Double!B38,"D",IF(B38=Surrender!B38,"R","H")))</f>
        <v>S</v>
      </c>
      <c r="O38" s="2" t="str">
        <f>IF(C38=Stand!C38,"S",IF(C38=Double!C38,"D",IF(C38=Surrender!C38,"R","H")))</f>
        <v>D</v>
      </c>
      <c r="P38" s="2" t="str">
        <f>IF(D38=Stand!D38,"S",IF(D38=Double!D38,"D",IF(D38=Surrender!D38,"R","H")))</f>
        <v>D</v>
      </c>
      <c r="Q38" s="2" t="str">
        <f>IF(E38=Stand!E38,"S",IF(E38=Double!E38,"D",IF(E38=Surrender!E38,"R","H")))</f>
        <v>D</v>
      </c>
      <c r="R38" s="2" t="str">
        <f>IF(F38=Stand!F38,"S",IF(F38=Double!F38,"D",IF(F38=Surrender!F38,"R","H")))</f>
        <v>D</v>
      </c>
      <c r="S38" s="2" t="str">
        <f>IF(G38=Stand!G38,"S",IF(G38=Double!G38,"D",IF(G38=Surrender!G38,"R","H")))</f>
        <v>S</v>
      </c>
      <c r="T38" s="2" t="str">
        <f>IF(H38=Stand!H38,"S",IF(H38=Double!H38,"D",IF(H38=Surrender!H38,"R","H")))</f>
        <v>S</v>
      </c>
      <c r="U38" s="2" t="str">
        <f>IF(I38=Stand!I38,"S",IF(I38=Double!I38,"D",IF(I38=Surrender!I38,"R","H")))</f>
        <v>H</v>
      </c>
      <c r="V38" s="2" t="str">
        <f>IF(J38=Stand!J38,"S",IF(J38=Double!J38,"D",IF(J38=Surrender!J38,"R","H")))</f>
        <v>H</v>
      </c>
      <c r="W38" s="2" t="str">
        <f>IF(K38=Stand!K38,"S",IF(K38=Double!K38,"D",IF(K38=Surrender!K38,"R","H")))</f>
        <v>H</v>
      </c>
    </row>
    <row r="39" spans="1:23" ht="12.5" x14ac:dyDescent="0.25">
      <c r="A39" s="5">
        <v>19</v>
      </c>
      <c r="B39" s="5">
        <f>MAX(Hit!B39,Stand!B39,Double!B39,Surrender!B39)</f>
        <v>0.38630468602058993</v>
      </c>
      <c r="C39" s="5">
        <f>MAX(Hit!C39,Stand!C39,Double!C39,Surrender!C39)</f>
        <v>0.4043629365977599</v>
      </c>
      <c r="D39" s="5">
        <f>MAX(Hit!D39,Stand!D39,Double!D39,Surrender!D39)</f>
        <v>0.42317892482749653</v>
      </c>
      <c r="E39" s="5">
        <f>MAX(Hit!E39,Stand!E39,Double!E39,Surrender!E39)</f>
        <v>0.43951210416088371</v>
      </c>
      <c r="F39" s="5">
        <f>MAX(Hit!F39,Stand!F39,Double!F39,Surrender!F39)</f>
        <v>0.49597707378731926</v>
      </c>
      <c r="G39" s="5">
        <f>MAX(Hit!G39,Stand!G39,Double!G39,Surrender!G39)</f>
        <v>0.6159764957534315</v>
      </c>
      <c r="H39" s="5">
        <f>MAX(Hit!H39,Stand!H39,Double!H39,Surrender!H39)</f>
        <v>0.59385366828669439</v>
      </c>
      <c r="I39" s="5">
        <f>MAX(Hit!I39,Stand!I39,Double!I39,Surrender!I39)</f>
        <v>0.28759675706758148</v>
      </c>
      <c r="J39" s="5">
        <f>MAX(Hit!J39,Stand!J39,Double!J39,Surrender!J39)</f>
        <v>6.3118166335840831E-2</v>
      </c>
      <c r="K39" s="5">
        <f>MAX(Hit!K39,Stand!K39,Double!K39,Surrender!K39)</f>
        <v>0.27763572376835594</v>
      </c>
      <c r="M39" s="2">
        <v>19</v>
      </c>
      <c r="N39" s="2" t="str">
        <f>IF(B39=Stand!B39,"S",IF(B39=Double!B39,"D",IF(B39=Surrender!B39,"R","H")))</f>
        <v>S</v>
      </c>
      <c r="O39" s="2" t="str">
        <f>IF(C39=Stand!C39,"S",IF(C39=Double!C39,"D",IF(C39=Surrender!C39,"R","H")))</f>
        <v>S</v>
      </c>
      <c r="P39" s="2" t="str">
        <f>IF(D39=Stand!D39,"S",IF(D39=Double!D39,"D",IF(D39=Surrender!D39,"R","H")))</f>
        <v>S</v>
      </c>
      <c r="Q39" s="2" t="str">
        <f>IF(E39=Stand!E39,"S",IF(E39=Double!E39,"D",IF(E39=Surrender!E39,"R","H")))</f>
        <v>S</v>
      </c>
      <c r="R39" s="2" t="str">
        <f>IF(F39=Stand!F39,"S",IF(F39=Double!F39,"D",IF(F39=Surrender!F39,"R","H")))</f>
        <v>S</v>
      </c>
      <c r="S39" s="2" t="str">
        <f>IF(G39=Stand!G39,"S",IF(G39=Double!G39,"D",IF(G39=Surrender!G39,"R","H")))</f>
        <v>S</v>
      </c>
      <c r="T39" s="2" t="str">
        <f>IF(H39=Stand!H39,"S",IF(H39=Double!H39,"D",IF(H39=Surrender!H39,"R","H")))</f>
        <v>S</v>
      </c>
      <c r="U39" s="2" t="str">
        <f>IF(I39=Stand!I39,"S",IF(I39=Double!I39,"D",IF(I39=Surrender!I39,"R","H")))</f>
        <v>S</v>
      </c>
      <c r="V39" s="2" t="str">
        <f>IF(J39=Stand!J39,"S",IF(J39=Double!J39,"D",IF(J39=Surrender!J39,"R","H")))</f>
        <v>S</v>
      </c>
      <c r="W39" s="2" t="str">
        <f>IF(K39=Stand!K39,"S",IF(K39=Double!K39,"D",IF(K39=Surrender!K39,"R","H")))</f>
        <v>S</v>
      </c>
    </row>
    <row r="40" spans="1:23" ht="12.5" x14ac:dyDescent="0.25">
      <c r="A40" s="5">
        <v>20</v>
      </c>
      <c r="B40" s="5">
        <f>MAX(Hit!B40,Stand!B40,Double!B40,Surrender!B40)</f>
        <v>0.63998657521683877</v>
      </c>
      <c r="C40" s="5">
        <f>MAX(Hit!C40,Stand!C40,Double!C40,Surrender!C40)</f>
        <v>0.65027209425148136</v>
      </c>
      <c r="D40" s="5">
        <f>MAX(Hit!D40,Stand!D40,Double!D40,Surrender!D40)</f>
        <v>0.66104996194807186</v>
      </c>
      <c r="E40" s="5">
        <f>MAX(Hit!E40,Stand!E40,Double!E40,Surrender!E40)</f>
        <v>0.67035969063279999</v>
      </c>
      <c r="F40" s="5">
        <f>MAX(Hit!F40,Stand!F40,Double!F40,Surrender!F40)</f>
        <v>0.70395857017134467</v>
      </c>
      <c r="G40" s="5">
        <f>MAX(Hit!G40,Stand!G40,Double!G40,Surrender!G40)</f>
        <v>0.77322722653717491</v>
      </c>
      <c r="H40" s="5">
        <f>MAX(Hit!H40,Stand!H40,Double!H40,Surrender!H40)</f>
        <v>0.79181515955189841</v>
      </c>
      <c r="I40" s="5">
        <f>MAX(Hit!I40,Stand!I40,Double!I40,Surrender!I40)</f>
        <v>0.75835687080859615</v>
      </c>
      <c r="J40" s="5">
        <f>MAX(Hit!J40,Stand!J40,Double!J40,Surrender!J40)</f>
        <v>0.55453756646817121</v>
      </c>
      <c r="K40" s="5">
        <f>MAX(Hit!K40,Stand!K40,Double!K40,Surrender!K40)</f>
        <v>0.65547032314990239</v>
      </c>
      <c r="M40" s="2">
        <v>20</v>
      </c>
      <c r="N40" s="2" t="str">
        <f>IF(B40=Stand!B40,"S",IF(B40=Double!B40,"D",IF(B40=Surrender!B40,"R","H")))</f>
        <v>S</v>
      </c>
      <c r="O40" s="2" t="str">
        <f>IF(C40=Stand!C40,"S",IF(C40=Double!C40,"D",IF(C40=Surrender!C40,"R","H")))</f>
        <v>S</v>
      </c>
      <c r="P40" s="2" t="str">
        <f>IF(D40=Stand!D40,"S",IF(D40=Double!D40,"D",IF(D40=Surrender!D40,"R","H")))</f>
        <v>S</v>
      </c>
      <c r="Q40" s="2" t="str">
        <f>IF(E40=Stand!E40,"S",IF(E40=Double!E40,"D",IF(E40=Surrender!E40,"R","H")))</f>
        <v>S</v>
      </c>
      <c r="R40" s="2" t="str">
        <f>IF(F40=Stand!F40,"S",IF(F40=Double!F40,"D",IF(F40=Surrender!F40,"R","H")))</f>
        <v>S</v>
      </c>
      <c r="S40" s="2" t="str">
        <f>IF(G40=Stand!G40,"S",IF(G40=Double!G40,"D",IF(G40=Surrender!G40,"R","H")))</f>
        <v>S</v>
      </c>
      <c r="T40" s="2" t="str">
        <f>IF(H40=Stand!H40,"S",IF(H40=Double!H40,"D",IF(H40=Surrender!H40,"R","H")))</f>
        <v>S</v>
      </c>
      <c r="U40" s="2" t="str">
        <f>IF(I40=Stand!I40,"S",IF(I40=Double!I40,"D",IF(I40=Surrender!I40,"R","H")))</f>
        <v>S</v>
      </c>
      <c r="V40" s="2" t="str">
        <f>IF(J40=Stand!J40,"S",IF(J40=Double!J40,"D",IF(J40=Surrender!J40,"R","H")))</f>
        <v>S</v>
      </c>
      <c r="W40" s="2" t="str">
        <f>IF(K40=Stand!K40,"S",IF(K40=Double!K40,"D",IF(K40=Surrender!K40,"R","H")))</f>
        <v>S</v>
      </c>
    </row>
    <row r="41" spans="1:23" ht="12.5" x14ac:dyDescent="0.25">
      <c r="A41" s="5">
        <v>21</v>
      </c>
      <c r="B41" s="5">
        <f>MAX(Hit!B41,Stand!B41,Double!B41,Surrender!B41)</f>
        <v>0.88200651549403997</v>
      </c>
      <c r="C41" s="5">
        <f>MAX(Hit!C41,Stand!C41,Double!C41,Surrender!C41)</f>
        <v>0.88530035730174927</v>
      </c>
      <c r="D41" s="5">
        <f>MAX(Hit!D41,Stand!D41,Double!D41,Surrender!D41)</f>
        <v>0.88876729296591961</v>
      </c>
      <c r="E41" s="5">
        <f>MAX(Hit!E41,Stand!E41,Double!E41,Surrender!E41)</f>
        <v>0.89175382659528035</v>
      </c>
      <c r="F41" s="5">
        <f>MAX(Hit!F41,Stand!F41,Double!F41,Surrender!F41)</f>
        <v>0.90283674384258006</v>
      </c>
      <c r="G41" s="5">
        <f>MAX(Hit!G41,Stand!G41,Double!G41,Surrender!G41)</f>
        <v>0.92592629596452325</v>
      </c>
      <c r="H41" s="5">
        <f>MAX(Hit!H41,Stand!H41,Double!H41,Surrender!H41)</f>
        <v>0.93060505318396614</v>
      </c>
      <c r="I41" s="5">
        <f>MAX(Hit!I41,Stand!I41,Double!I41,Surrender!I41)</f>
        <v>0.93917615614724415</v>
      </c>
      <c r="J41" s="5">
        <f>MAX(Hit!J41,Stand!J41,Double!J41,Surrender!J41)</f>
        <v>0.96262363326716827</v>
      </c>
      <c r="K41" s="5">
        <f>MAX(Hit!K41,Stand!K41,Double!K41,Surrender!K41)</f>
        <v>0.92219381142033785</v>
      </c>
      <c r="M41" s="2">
        <v>21</v>
      </c>
      <c r="N41" s="2" t="str">
        <f>IF(B41=Stand!B41,"S",IF(B41=Double!B41,"D",IF(B41=Surrender!B41,"R","H")))</f>
        <v>S</v>
      </c>
      <c r="O41" s="2" t="str">
        <f>IF(C41=Stand!C41,"S",IF(C41=Double!C41,"D",IF(C41=Surrender!C41,"R","H")))</f>
        <v>S</v>
      </c>
      <c r="P41" s="2" t="str">
        <f>IF(D41=Stand!D41,"S",IF(D41=Double!D41,"D",IF(D41=Surrender!D41,"R","H")))</f>
        <v>S</v>
      </c>
      <c r="Q41" s="2" t="str">
        <f>IF(E41=Stand!E41,"S",IF(E41=Double!E41,"D",IF(E41=Surrender!E41,"R","H")))</f>
        <v>S</v>
      </c>
      <c r="R41" s="2" t="str">
        <f>IF(F41=Stand!F41,"S",IF(F41=Double!F41,"D",IF(F41=Surrender!F41,"R","H")))</f>
        <v>S</v>
      </c>
      <c r="S41" s="2" t="str">
        <f>IF(G41=Stand!G41,"S",IF(G41=Double!G41,"D",IF(G41=Surrender!G41,"R","H")))</f>
        <v>S</v>
      </c>
      <c r="T41" s="2" t="str">
        <f>IF(H41=Stand!H41,"S",IF(H41=Double!H41,"D",IF(H41=Surrender!H41,"R","H")))</f>
        <v>S</v>
      </c>
      <c r="U41" s="2" t="str">
        <f>IF(I41=Stand!I41,"S",IF(I41=Double!I41,"D",IF(I41=Surrender!I41,"R","H")))</f>
        <v>S</v>
      </c>
      <c r="V41" s="2" t="str">
        <f>IF(J41=Stand!J41,"S",IF(J41=Double!J41,"D",IF(J41=Surrender!J41,"R","H")))</f>
        <v>S</v>
      </c>
      <c r="W41" s="2" t="str">
        <f>IF(K41=Stand!K41,"S",IF(K41=Double!K41,"D",IF(K41=Surrender!K41,"R","H")))</f>
        <v>S</v>
      </c>
    </row>
    <row r="42" spans="1:23" ht="12.5" x14ac:dyDescent="0.25">
      <c r="A42" s="5">
        <v>22</v>
      </c>
      <c r="B42" s="5">
        <f>MAX(Hit!B42,Stand!B42,Double!B42,Surrender!B42)</f>
        <v>-0.25338998596663803</v>
      </c>
      <c r="C42" s="5">
        <f>MAX(Hit!C42,Stand!C42,Double!C42,Surrender!C42)</f>
        <v>-0.2336908997980866</v>
      </c>
      <c r="D42" s="5">
        <f>MAX(Hit!D42,Stand!D42,Double!D42,Surrender!D42)</f>
        <v>-0.21106310899491437</v>
      </c>
      <c r="E42" s="5">
        <f>MAX(Hit!E42,Stand!E42,Double!E42,Surrender!E42)</f>
        <v>-0.16719266083547524</v>
      </c>
      <c r="F42" s="5">
        <f>MAX(Hit!F42,Stand!F42,Double!F42,Surrender!F42)</f>
        <v>-0.15369901583000439</v>
      </c>
      <c r="G42" s="5">
        <f>MAX(Hit!G42,Stand!G42,Double!G42,Surrender!G42)</f>
        <v>-0.21284771451731427</v>
      </c>
      <c r="H42" s="5">
        <f>MAX(Hit!H42,Stand!H42,Double!H42,Surrender!H42)</f>
        <v>-0.27157480502428616</v>
      </c>
      <c r="I42" s="5">
        <f>MAX(Hit!I42,Stand!I42,Double!I42,Surrender!I42)</f>
        <v>-0.3400132806089356</v>
      </c>
      <c r="J42" s="5">
        <f>MAX(Hit!J42,Stand!J42,Double!J42,Surrender!J42)</f>
        <v>-0.38104299284808757</v>
      </c>
      <c r="K42" s="5">
        <f>MAX(Hit!K42,Stand!K42,Double!K42,Surrender!K42)</f>
        <v>-0.35054034044008009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2.5" x14ac:dyDescent="0.25">
      <c r="A43" s="5">
        <v>23</v>
      </c>
      <c r="B43" s="5">
        <f>MAX(Hit!B43,Stand!B43,Double!B43,Surrender!B43)</f>
        <v>-0.29278372720927726</v>
      </c>
      <c r="C43" s="5">
        <f>MAX(Hit!C43,Stand!C43,Double!C43,Surrender!C43)</f>
        <v>-0.2522502292357135</v>
      </c>
      <c r="D43" s="5">
        <f>MAX(Hit!D43,Stand!D43,Double!D43,Surrender!D43)</f>
        <v>-0.21106310899491437</v>
      </c>
      <c r="E43" s="5">
        <f>MAX(Hit!E43,Stand!E43,Double!E43,Surrender!E43)</f>
        <v>-0.16719266083547524</v>
      </c>
      <c r="F43" s="5">
        <f>MAX(Hit!F43,Stand!F43,Double!F43,Surrender!F43)</f>
        <v>-0.15369901583000439</v>
      </c>
      <c r="G43" s="5">
        <f>MAX(Hit!G43,Stand!G43,Double!G43,Surrender!G43)</f>
        <v>-0.26907287776607752</v>
      </c>
      <c r="H43" s="5">
        <f>MAX(Hit!H43,Stand!H43,Double!H43,Surrender!H43)</f>
        <v>-0.32360517609397998</v>
      </c>
      <c r="I43" s="5">
        <f>MAX(Hit!I43,Stand!I43,Double!I43,Surrender!I43)</f>
        <v>-0.38715518913686875</v>
      </c>
      <c r="J43" s="5">
        <f>MAX(Hit!J43,Stand!J43,Double!J43,Surrender!J43)</f>
        <v>-0.42525420764465277</v>
      </c>
      <c r="K43" s="5">
        <f>MAX(Hit!K43,Stand!K43,Double!K43,Surrender!K43)</f>
        <v>-0.3969303161229315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2.5" x14ac:dyDescent="0.25">
      <c r="A44" s="5">
        <v>24</v>
      </c>
      <c r="B44" s="5">
        <f>MAX(Hit!B44,Stand!B44,Double!B44,Surrender!B44)</f>
        <v>-0.29278372720927726</v>
      </c>
      <c r="C44" s="5">
        <f>MAX(Hit!C44,Stand!C44,Double!C44,Surrender!C44)</f>
        <v>-0.2522502292357135</v>
      </c>
      <c r="D44" s="5">
        <f>MAX(Hit!D44,Stand!D44,Double!D44,Surrender!D44)</f>
        <v>-0.21106310899491437</v>
      </c>
      <c r="E44" s="5">
        <f>MAX(Hit!E44,Stand!E44,Double!E44,Surrender!E44)</f>
        <v>-0.16719266083547524</v>
      </c>
      <c r="F44" s="5">
        <f>MAX(Hit!F44,Stand!F44,Double!F44,Surrender!F44)</f>
        <v>-0.15369901583000439</v>
      </c>
      <c r="G44" s="5">
        <f>MAX(Hit!G44,Stand!G44,Double!G44,Surrender!G44)</f>
        <v>-0.3212819579256434</v>
      </c>
      <c r="H44" s="5">
        <f>MAX(Hit!H44,Stand!H44,Double!H44,Surrender!H44)</f>
        <v>-0.37191909208726709</v>
      </c>
      <c r="I44" s="5">
        <f>MAX(Hit!I44,Stand!I44,Double!I44,Surrender!I44)</f>
        <v>-0.43092981848423528</v>
      </c>
      <c r="J44" s="5">
        <f>MAX(Hit!J44,Stand!J44,Double!J44,Surrender!J44)</f>
        <v>-0.46630747852717758</v>
      </c>
      <c r="K44" s="5">
        <f>MAX(Hit!K44,Stand!K44,Double!K44,Surrender!K44)</f>
        <v>-0.44000672211415065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2.5" x14ac:dyDescent="0.25">
      <c r="A45" s="5">
        <v>25</v>
      </c>
      <c r="B45" s="5">
        <f>MAX(Hit!B45,Stand!B45,Double!B45,Surrender!B45)</f>
        <v>-0.29278372720927726</v>
      </c>
      <c r="C45" s="5">
        <f>MAX(Hit!C45,Stand!C45,Double!C45,Surrender!C45)</f>
        <v>-0.2522502292357135</v>
      </c>
      <c r="D45" s="5">
        <f>MAX(Hit!D45,Stand!D45,Double!D45,Surrender!D45)</f>
        <v>-0.21106310899491437</v>
      </c>
      <c r="E45" s="5">
        <f>MAX(Hit!E45,Stand!E45,Double!E45,Surrender!E45)</f>
        <v>-0.16719266083547524</v>
      </c>
      <c r="F45" s="5">
        <f>MAX(Hit!F45,Stand!F45,Double!F45,Surrender!F45)</f>
        <v>-0.15369901583000439</v>
      </c>
      <c r="G45" s="5">
        <f>MAX(Hit!G45,Stand!G45,Double!G45,Surrender!G45)</f>
        <v>-0.36976181807381175</v>
      </c>
      <c r="H45" s="5">
        <f>MAX(Hit!H45,Stand!H45,Double!H45,Surrender!H45)</f>
        <v>-0.41678201408103371</v>
      </c>
      <c r="I45" s="5">
        <f>MAX(Hit!I45,Stand!I45,Double!I45,Surrender!I45)</f>
        <v>-0.47157768859250421</v>
      </c>
      <c r="J45" s="5">
        <f>MAX(Hit!J45,Stand!J45,Double!J45,Surrender!J45)</f>
        <v>-0.5</v>
      </c>
      <c r="K45" s="5">
        <f>MAX(Hit!K45,Stand!K45,Double!K45,Surrender!K45)</f>
        <v>-0.4800062419631399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2.5" x14ac:dyDescent="0.25">
      <c r="A46" s="5">
        <v>26</v>
      </c>
      <c r="B46" s="5">
        <f>MAX(Hit!B46,Stand!B46,Double!B46,Surrender!B46)</f>
        <v>-0.29278372720927726</v>
      </c>
      <c r="C46" s="5">
        <f>MAX(Hit!C46,Stand!C46,Double!C46,Surrender!C46)</f>
        <v>-0.2522502292357135</v>
      </c>
      <c r="D46" s="5">
        <f>MAX(Hit!D46,Stand!D46,Double!D46,Surrender!D46)</f>
        <v>-0.21106310899491437</v>
      </c>
      <c r="E46" s="5">
        <f>MAX(Hit!E46,Stand!E46,Double!E46,Surrender!E46)</f>
        <v>-0.16719266083547524</v>
      </c>
      <c r="F46" s="5">
        <f>MAX(Hit!F46,Stand!F46,Double!F46,Surrender!F46)</f>
        <v>-0.15369901583000439</v>
      </c>
      <c r="G46" s="5">
        <f>MAX(Hit!G46,Stand!G46,Double!G46,Surrender!G46)</f>
        <v>-0.41477883106853947</v>
      </c>
      <c r="H46" s="5">
        <f>MAX(Hit!H46,Stand!H46,Double!H46,Surrender!H46)</f>
        <v>-0.45844044164667419</v>
      </c>
      <c r="I46" s="5">
        <f>MAX(Hit!I46,Stand!I46,Double!I46,Surrender!I46)</f>
        <v>-0.5</v>
      </c>
      <c r="J46" s="5">
        <f>MAX(Hit!J46,Stand!J46,Double!J46,Surrender!J46)</f>
        <v>-0.5</v>
      </c>
      <c r="K46" s="5">
        <f>MAX(Hit!K46,Stand!K46,Double!K46,Surrender!K46)</f>
        <v>-0.5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2.5" x14ac:dyDescent="0.25">
      <c r="A47" s="5">
        <v>27</v>
      </c>
      <c r="B47" s="5">
        <f>MAX(Hit!B47,Stand!B47,Double!B47,Surrender!B47)</f>
        <v>-0.15297458768154204</v>
      </c>
      <c r="C47" s="5">
        <f>MAX(Hit!C47,Stand!C47,Double!C47,Surrender!C47)</f>
        <v>-0.11721624142457365</v>
      </c>
      <c r="D47" s="5">
        <f>MAX(Hit!D47,Stand!D47,Double!D47,Surrender!D47)</f>
        <v>-8.0573373145316152E-2</v>
      </c>
      <c r="E47" s="5">
        <f>MAX(Hit!E47,Stand!E47,Double!E47,Surrender!E47)</f>
        <v>-4.4941375564924446E-2</v>
      </c>
      <c r="F47" s="5">
        <f>MAX(Hit!F47,Stand!F47,Double!F47,Surrender!F47)</f>
        <v>1.1739160673341964E-2</v>
      </c>
      <c r="G47" s="5">
        <f>MAX(Hit!G47,Stand!G47,Double!G47,Surrender!G47)</f>
        <v>-0.10680898948269468</v>
      </c>
      <c r="H47" s="5">
        <f>MAX(Hit!H47,Stand!H47,Double!H47,Surrender!H47)</f>
        <v>-0.38195097104844711</v>
      </c>
      <c r="I47" s="5">
        <f>MAX(Hit!I47,Stand!I47,Double!I47,Surrender!I47)</f>
        <v>-0.42315423964521748</v>
      </c>
      <c r="J47" s="5">
        <f>MAX(Hit!J47,Stand!J47,Double!J47,Surrender!J47)</f>
        <v>-0.41972063392881986</v>
      </c>
      <c r="K47" s="5">
        <f>MAX(Hit!K47,Stand!K47,Double!K47,Surrender!K47)</f>
        <v>-0.47803347499473703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2.5" x14ac:dyDescent="0.25">
      <c r="A48" s="5">
        <v>28</v>
      </c>
      <c r="B48" s="5">
        <f>MAX(Hit!B48,Stand!B48,Double!B48,Surrender!B48)</f>
        <v>0.12174190222088771</v>
      </c>
      <c r="C48" s="5">
        <f>MAX(Hit!C48,Stand!C48,Double!C48,Surrender!C48)</f>
        <v>0.14830007284131114</v>
      </c>
      <c r="D48" s="5">
        <f>MAX(Hit!D48,Stand!D48,Double!D48,Surrender!D48)</f>
        <v>0.17585443719748528</v>
      </c>
      <c r="E48" s="5">
        <f>MAX(Hit!E48,Stand!E48,Double!E48,Surrender!E48)</f>
        <v>0.19956119497617719</v>
      </c>
      <c r="F48" s="5">
        <f>MAX(Hit!F48,Stand!F48,Double!F48,Surrender!F48)</f>
        <v>0.28344391604689867</v>
      </c>
      <c r="G48" s="5">
        <f>MAX(Hit!G48,Stand!G48,Double!G48,Surrender!G48)</f>
        <v>0.3995541673365518</v>
      </c>
      <c r="H48" s="5">
        <f>MAX(Hit!H48,Stand!H48,Double!H48,Surrender!H48)</f>
        <v>0.10595134861912359</v>
      </c>
      <c r="I48" s="5">
        <f>MAX(Hit!I48,Stand!I48,Double!I48,Surrender!I48)</f>
        <v>-0.18316335667343342</v>
      </c>
      <c r="J48" s="5">
        <f>MAX(Hit!J48,Stand!J48,Double!J48,Surrender!J48)</f>
        <v>-0.17830123379648949</v>
      </c>
      <c r="K48" s="5">
        <f>MAX(Hit!K48,Stand!K48,Double!K48,Surrender!K48)</f>
        <v>-0.10019887561319057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2.5" x14ac:dyDescent="0.25">
      <c r="A49" s="5">
        <v>29</v>
      </c>
      <c r="B49" s="5">
        <f>MAX(Hit!B49,Stand!B49,Double!B49,Surrender!B49)</f>
        <v>0.38630468602058993</v>
      </c>
      <c r="C49" s="5">
        <f>MAX(Hit!C49,Stand!C49,Double!C49,Surrender!C49)</f>
        <v>0.4043629365977599</v>
      </c>
      <c r="D49" s="5">
        <f>MAX(Hit!D49,Stand!D49,Double!D49,Surrender!D49)</f>
        <v>0.42317892482749653</v>
      </c>
      <c r="E49" s="5">
        <f>MAX(Hit!E49,Stand!E49,Double!E49,Surrender!E49)</f>
        <v>0.43951210416088371</v>
      </c>
      <c r="F49" s="5">
        <f>MAX(Hit!F49,Stand!F49,Double!F49,Surrender!F49)</f>
        <v>0.49597707378731926</v>
      </c>
      <c r="G49" s="5">
        <f>MAX(Hit!G49,Stand!G49,Double!G49,Surrender!G49)</f>
        <v>0.6159764957534315</v>
      </c>
      <c r="H49" s="5">
        <f>MAX(Hit!H49,Stand!H49,Double!H49,Surrender!H49)</f>
        <v>0.59385366828669439</v>
      </c>
      <c r="I49" s="5">
        <f>MAX(Hit!I49,Stand!I49,Double!I49,Surrender!I49)</f>
        <v>0.28759675706758148</v>
      </c>
      <c r="J49" s="5">
        <f>MAX(Hit!J49,Stand!J49,Double!J49,Surrender!J49)</f>
        <v>6.3118166335840831E-2</v>
      </c>
      <c r="K49" s="5">
        <f>MAX(Hit!K49,Stand!K49,Double!K49,Surrender!K49)</f>
        <v>0.27763572376835594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2.5" x14ac:dyDescent="0.25">
      <c r="A50" s="5">
        <v>30</v>
      </c>
      <c r="B50" s="5">
        <f>MAX(Hit!B50,Stand!B50,Double!B50,Surrender!B50)</f>
        <v>0.63998657521683877</v>
      </c>
      <c r="C50" s="5">
        <f>MAX(Hit!C50,Stand!C50,Double!C50,Surrender!C50)</f>
        <v>0.65027209425148136</v>
      </c>
      <c r="D50" s="5">
        <f>MAX(Hit!D50,Stand!D50,Double!D50,Surrender!D50)</f>
        <v>0.66104996194807186</v>
      </c>
      <c r="E50" s="5">
        <f>MAX(Hit!E50,Stand!E50,Double!E50,Surrender!E50)</f>
        <v>0.67035969063279999</v>
      </c>
      <c r="F50" s="5">
        <f>MAX(Hit!F50,Stand!F50,Double!F50,Surrender!F50)</f>
        <v>0.70395857017134467</v>
      </c>
      <c r="G50" s="5">
        <f>MAX(Hit!G50,Stand!G50,Double!G50,Surrender!G50)</f>
        <v>0.77322722653717491</v>
      </c>
      <c r="H50" s="5">
        <f>MAX(Hit!H50,Stand!H50,Double!H50,Surrender!H50)</f>
        <v>0.79181515955189841</v>
      </c>
      <c r="I50" s="5">
        <f>MAX(Hit!I50,Stand!I50,Double!I50,Surrender!I50)</f>
        <v>0.75835687080859615</v>
      </c>
      <c r="J50" s="5">
        <f>MAX(Hit!J50,Stand!J50,Double!J50,Surrender!J50)</f>
        <v>0.55453756646817121</v>
      </c>
      <c r="K50" s="5">
        <f>MAX(Hit!K50,Stand!K50,Double!K50,Surrender!K50)</f>
        <v>0.65547032314990239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2.5" x14ac:dyDescent="0.25">
      <c r="A51" s="5">
        <v>31</v>
      </c>
      <c r="B51" s="5">
        <f>MAX(Hit!B51,Stand!B51,Double!B51,Surrender!B51)</f>
        <v>0.88200651549403997</v>
      </c>
      <c r="C51" s="5">
        <f>MAX(Hit!C51,Stand!C51,Double!C51,Surrender!C51)</f>
        <v>0.88530035730174927</v>
      </c>
      <c r="D51" s="5">
        <f>MAX(Hit!D51,Stand!D51,Double!D51,Surrender!D51)</f>
        <v>0.88876729296591961</v>
      </c>
      <c r="E51" s="5">
        <f>MAX(Hit!E51,Stand!E51,Double!E51,Surrender!E51)</f>
        <v>0.89175382659528035</v>
      </c>
      <c r="F51" s="5">
        <f>MAX(Hit!F51,Stand!F51,Double!F51,Surrender!F51)</f>
        <v>0.90283674384258006</v>
      </c>
      <c r="G51" s="5">
        <f>MAX(Hit!G51,Stand!G51,Double!G51,Surrender!G51)</f>
        <v>0.92592629596452325</v>
      </c>
      <c r="H51" s="5">
        <f>MAX(Hit!H51,Stand!H51,Double!H51,Surrender!H51)</f>
        <v>0.93060505318396614</v>
      </c>
      <c r="I51" s="5">
        <f>MAX(Hit!I51,Stand!I51,Double!I51,Surrender!I51)</f>
        <v>0.93917615614724415</v>
      </c>
      <c r="J51" s="5">
        <f>MAX(Hit!J51,Stand!J51,Double!J51,Surrender!J51)</f>
        <v>0.96262363326716827</v>
      </c>
      <c r="K51" s="5">
        <f>MAX(Hit!K51,Stand!K51,Double!K51,Surrender!K51)</f>
        <v>0.92219381142033785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</sheetData>
  <conditionalFormatting sqref="N1:W51">
    <cfRule type="containsText" dxfId="5" priority="1" operator="containsText" text="H">
      <formula>NOT(ISERROR(SEARCH(("H"),(N1))))</formula>
    </cfRule>
    <cfRule type="containsText" dxfId="4" priority="2" operator="containsText" text="S">
      <formula>NOT(ISERROR(SEARCH(("S"),(N1))))</formula>
    </cfRule>
    <cfRule type="containsText" dxfId="3" priority="3" operator="containsText" text="D">
      <formula>NOT(ISERROR(SEARCH(("D"),(N1))))</formula>
    </cfRule>
    <cfRule type="containsText" dxfId="2" priority="4" operator="containsText" text="R">
      <formula>NOT(ISERROR(SEARCH(("R"),(N1))))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39"/>
  <sheetViews>
    <sheetView workbookViewId="0"/>
  </sheetViews>
  <sheetFormatPr defaultColWidth="12.6328125" defaultRowHeight="15.75" customHeight="1" x14ac:dyDescent="0.25"/>
  <sheetData>
    <row r="1" spans="1:11" ht="15.75" customHeight="1" x14ac:dyDescent="0.25">
      <c r="A1" s="5" t="s">
        <v>7</v>
      </c>
      <c r="B1" s="5">
        <v>2</v>
      </c>
      <c r="C1" s="5">
        <v>3</v>
      </c>
      <c r="D1" s="5">
        <v>4</v>
      </c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 t="s">
        <v>2</v>
      </c>
    </row>
    <row r="2" spans="1:11" ht="15.75" customHeight="1" x14ac:dyDescent="0.25">
      <c r="A2" s="5">
        <v>2</v>
      </c>
      <c r="B2" s="5">
        <f>2*(SUM(HSD!B2:B9)+4*HSD!B10+HSD!B33)/13</f>
        <v>-8.8887240897114583E-2</v>
      </c>
      <c r="C2" s="5">
        <f>2*(SUM(HSD!C2:C9)+4*HSD!C10+HSD!C33)/13</f>
        <v>-2.5616130479246414E-2</v>
      </c>
      <c r="D2" s="5">
        <f>2*(SUM(HSD!D2:D9)+4*HSD!D10+HSD!D33)/13</f>
        <v>4.2946629568768907E-2</v>
      </c>
      <c r="E2" s="5">
        <f>2*(SUM(HSD!E2:E9)+4*HSD!E10+HSD!E33)/13</f>
        <v>0.12724982334843896</v>
      </c>
      <c r="F2" s="5">
        <f>2*(SUM(HSD!F2:F9)+4*HSD!F10+HSD!F33)/13</f>
        <v>0.19477859816579277</v>
      </c>
      <c r="G2" s="5">
        <f>2*(SUM(HSD!G2:G9)+4*HSD!G10+HSD!G33)/13</f>
        <v>-7.3993244927046632E-3</v>
      </c>
      <c r="H2" s="5">
        <f>2*(SUM(HSD!H2:H9)+4*HSD!H10+HSD!H33)/13</f>
        <v>-0.1741092318424651</v>
      </c>
      <c r="I2" s="5">
        <f>2*(SUM(HSD!I2:I9)+4*HSD!I10+HSD!I33)/13</f>
        <v>-0.36512119656719894</v>
      </c>
      <c r="J2" s="5">
        <f>2*(SUM(HSD!J2:J9)+4*HSD!J10+HSD!J33)/13</f>
        <v>-0.47473352836952298</v>
      </c>
      <c r="K2" s="5">
        <f>2*(SUM(HSD!K2:K9)+4*HSD!K10+HSD!K33)/13</f>
        <v>-0.40670736629778759</v>
      </c>
    </row>
    <row r="3" spans="1:11" ht="15.75" customHeight="1" x14ac:dyDescent="0.25">
      <c r="A3" s="5">
        <v>3</v>
      </c>
      <c r="B3" s="5">
        <f>2*(SUM(HSD!B3:B10)+4*HSD!B11+HSD!B34)/13</f>
        <v>-0.13816353305492135</v>
      </c>
      <c r="C3" s="5">
        <f>2*(SUM(HSD!C3:C10)+4*HSD!C11+HSD!C34)/13</f>
        <v>-6.3866434744217354E-2</v>
      </c>
      <c r="D3" s="5">
        <f>2*(SUM(HSD!D3:D10)+4*HSD!D11+HSD!D34)/13</f>
        <v>1.4624872422626991E-2</v>
      </c>
      <c r="E3" s="5">
        <f>2*(SUM(HSD!E3:E10)+4*HSD!E11+HSD!E34)/13</f>
        <v>0.10229274834073326</v>
      </c>
      <c r="F3" s="5">
        <f>2*(SUM(HSD!F3:F10)+4*HSD!F11+HSD!F34)/13</f>
        <v>0.16942022384102598</v>
      </c>
      <c r="G3" s="5">
        <f>2*(SUM(HSD!G3:G10)+4*HSD!G11+HSD!G34)/13</f>
        <v>-6.7760458821693487E-2</v>
      </c>
      <c r="H3" s="5">
        <f>2*(SUM(HSD!H3:H10)+4*HSD!H11+HSD!H34)/13</f>
        <v>-0.22966953759261266</v>
      </c>
      <c r="I3" s="5">
        <f>2*(SUM(HSD!I3:I10)+4*HSD!I11+HSD!I34)/13</f>
        <v>-0.4151801560874307</v>
      </c>
      <c r="J3" s="5">
        <f>2*(SUM(HSD!J3:J10)+4*HSD!J11+HSD!J34)/13</f>
        <v>-0.52139589164919231</v>
      </c>
      <c r="K3" s="5">
        <f>2*(SUM(HSD!K3:K10)+4*HSD!K11+HSD!K34)/13</f>
        <v>-0.45587498581610703</v>
      </c>
    </row>
    <row r="4" spans="1:11" ht="15.75" customHeight="1" x14ac:dyDescent="0.25">
      <c r="A4" s="5">
        <v>4</v>
      </c>
      <c r="B4" s="5">
        <f>2*(SUM(HSD!B4:B11)+4*HSD!B12+HSD!B35)/13</f>
        <v>-0.16694517949705909</v>
      </c>
      <c r="C4" s="5">
        <f>2*(SUM(HSD!C4:C11)+4*HSD!C12+HSD!C35)/13</f>
        <v>-9.1341346785911062E-2</v>
      </c>
      <c r="D4" s="5">
        <f>2*(SUM(HSD!D4:D11)+4*HSD!D12+HSD!D35)/13</f>
        <v>-1.1587386373396152E-2</v>
      </c>
      <c r="E4" s="5">
        <f>2*(SUM(HSD!E4:E11)+4*HSD!E12+HSD!E35)/13</f>
        <v>8.0259872887869343E-2</v>
      </c>
      <c r="F4" s="5">
        <f>2*(SUM(HSD!F4:F11)+4*HSD!F12+HSD!F35)/13</f>
        <v>0.14595673491924682</v>
      </c>
      <c r="G4" s="5">
        <f>2*(SUM(HSD!G4:G11)+4*HSD!G12+HSD!G35)/13</f>
        <v>-0.12944368385790758</v>
      </c>
      <c r="H4" s="5">
        <f>2*(SUM(HSD!H4:H11)+4*HSD!H12+HSD!H35)/13</f>
        <v>-0.28645408161262087</v>
      </c>
      <c r="I4" s="5">
        <f>2*(SUM(HSD!I4:I11)+4*HSD!I12+HSD!I35)/13</f>
        <v>-0.46635926876691303</v>
      </c>
      <c r="J4" s="5">
        <f>2*(SUM(HSD!J4:J11)+4*HSD!J12+HSD!J35)/13</f>
        <v>-0.5691332910255914</v>
      </c>
      <c r="K4" s="5">
        <f>2*(SUM(HSD!K4:K11)+4*HSD!K12+HSD!K35)/13</f>
        <v>-0.50615398880781737</v>
      </c>
    </row>
    <row r="5" spans="1:11" ht="15.75" customHeight="1" x14ac:dyDescent="0.25">
      <c r="A5" s="5">
        <v>5</v>
      </c>
      <c r="B5" s="5">
        <f>2*(SUM(HSD!B5:B12)+4*HSD!B13+HSD!B36)/13</f>
        <v>-0.19354965838671134</v>
      </c>
      <c r="C5" s="5">
        <f>2*(SUM(HSD!C5:C12)+4*HSD!C13+HSD!C36)/13</f>
        <v>-0.11673517270940206</v>
      </c>
      <c r="D5" s="5">
        <f>2*(SUM(HSD!D5:D12)+4*HSD!D13+HSD!D36)/13</f>
        <v>-3.2972744105082649E-2</v>
      </c>
      <c r="E5" s="5">
        <f>2*(SUM(HSD!E5:E12)+4*HSD!E13+HSD!E36)/13</f>
        <v>5.9909613271658099E-2</v>
      </c>
      <c r="F5" s="5">
        <f>2*(SUM(HSD!F5:F12)+4*HSD!F13+HSD!F36)/13</f>
        <v>0.12431163025768829</v>
      </c>
      <c r="G5" s="5">
        <f>2*(SUM(HSD!G5:G12)+4*HSD!G13+HSD!G36)/13</f>
        <v>-0.19178016550927718</v>
      </c>
      <c r="H5" s="5">
        <f>2*(SUM(HSD!H5:H12)+4*HSD!H13+HSD!H36)/13</f>
        <v>-0.34397238409858105</v>
      </c>
      <c r="I5" s="5">
        <f>2*(SUM(HSD!I5:I12)+4*HSD!I13+HSD!I36)/13</f>
        <v>-0.51825701717610018</v>
      </c>
      <c r="J5" s="5">
        <f>2*(SUM(HSD!J5:J12)+4*HSD!J13+HSD!J36)/13</f>
        <v>-0.61756074878418332</v>
      </c>
      <c r="K5" s="5">
        <f>2*(SUM(HSD!K5:K12)+4*HSD!K13+HSD!K36)/13</f>
        <v>-0.55714919510363936</v>
      </c>
    </row>
    <row r="6" spans="1:11" ht="15.75" customHeight="1" x14ac:dyDescent="0.25">
      <c r="A6" s="5">
        <v>6</v>
      </c>
      <c r="B6" s="5">
        <f>2*(SUM(HSD!B6:B13)+4*HSD!B14+HSD!B37)/13</f>
        <v>-0.21863675917925615</v>
      </c>
      <c r="C6" s="5">
        <f>2*(SUM(HSD!C6:C13)+4*HSD!C14+HSD!C37)/13</f>
        <v>-0.13667841243230397</v>
      </c>
      <c r="D6" s="5">
        <f>2*(SUM(HSD!D6:D13)+4*HSD!D14+HSD!D37)/13</f>
        <v>-4.9559710729696275E-2</v>
      </c>
      <c r="E6" s="5">
        <f>2*(SUM(HSD!E6:E13)+4*HSD!E14+HSD!E37)/13</f>
        <v>4.3986900993555816E-2</v>
      </c>
      <c r="F6" s="5">
        <f>2*(SUM(HSD!F6:F13)+4*HSD!F14+HSD!F37)/13</f>
        <v>0.10792266460833713</v>
      </c>
      <c r="G6" s="5">
        <f>2*(SUM(HSD!G6:G13)+4*HSD!G14+HSD!G37)/13</f>
        <v>-0.25675069621437907</v>
      </c>
      <c r="H6" s="5">
        <f>2*(SUM(HSD!H6:H13)+4*HSD!H14+HSD!H37)/13</f>
        <v>-0.40226953893378015</v>
      </c>
      <c r="I6" s="5">
        <f>2*(SUM(HSD!I6:I13)+4*HSD!I14+HSD!I37)/13</f>
        <v>-0.57030831085563416</v>
      </c>
      <c r="J6" s="5">
        <f>2*(SUM(HSD!J6:J13)+4*HSD!J14+HSD!J37)/13</f>
        <v>-0.66623634281105726</v>
      </c>
      <c r="K6" s="5">
        <f>2*(SUM(HSD!K6:K13)+4*HSD!K14+HSD!K37)/13</f>
        <v>-0.60829326195139877</v>
      </c>
    </row>
    <row r="7" spans="1:11" ht="15.75" customHeight="1" x14ac:dyDescent="0.25">
      <c r="A7" s="5">
        <v>7</v>
      </c>
      <c r="B7" s="5">
        <f>2*(SUM(HSD!B7:B14)+4*HSD!B15+HSD!B38)/13</f>
        <v>-0.1554853799924491</v>
      </c>
      <c r="C7" s="5">
        <f>2*(SUM(HSD!C7:C14)+4*HSD!C15+HSD!C38)/13</f>
        <v>-7.4766650789560851E-2</v>
      </c>
      <c r="D7" s="5">
        <f>2*(SUM(HSD!D7:D14)+4*HSD!D15+HSD!D38)/13</f>
        <v>1.0511467456082583E-2</v>
      </c>
      <c r="E7" s="5">
        <f>2*(SUM(HSD!E7:E14)+4*HSD!E15+HSD!E38)/13</f>
        <v>9.9964621687930175E-2</v>
      </c>
      <c r="F7" s="5">
        <f>2*(SUM(HSD!F7:F14)+4*HSD!F15+HSD!F38)/13</f>
        <v>0.1876912392044838</v>
      </c>
      <c r="G7" s="5">
        <f>2*(SUM(HSD!G7:G14)+4*HSD!G15+HSD!G38)/13</f>
        <v>-9.0500880901835695E-2</v>
      </c>
      <c r="H7" s="5">
        <f>2*(SUM(HSD!H7:H14)+4*HSD!H15+HSD!H38)/13</f>
        <v>-0.38899531374091001</v>
      </c>
      <c r="I7" s="5">
        <f>2*(SUM(HSD!I7:I14)+4*HSD!I15+HSD!I38)/13</f>
        <v>-0.55575779143393533</v>
      </c>
      <c r="J7" s="5">
        <f>2*(SUM(HSD!J7:J14)+4*HSD!J15+HSD!J38)/13</f>
        <v>-0.62884704485091814</v>
      </c>
      <c r="K7" s="5">
        <f>2*(SUM(HSD!K7:K14)+4*HSD!K15+HSD!K38)/13</f>
        <v>-0.62014330066327394</v>
      </c>
    </row>
    <row r="8" spans="1:11" ht="15.75" customHeight="1" x14ac:dyDescent="0.25">
      <c r="A8" s="5">
        <v>8</v>
      </c>
      <c r="B8" s="5">
        <f>2*(SUM(HSD!B8:B15)+4*HSD!B16+HSD!B39)/13</f>
        <v>1.9285099723172255E-2</v>
      </c>
      <c r="C8" s="5">
        <f>2*(SUM(HSD!C8:C15)+4*HSD!C16+HSD!C39)/13</f>
        <v>8.6887860476253229E-2</v>
      </c>
      <c r="D8" s="5">
        <f>2*(SUM(HSD!D8:D15)+4*HSD!D16+HSD!D39)/13</f>
        <v>0.15656746918613532</v>
      </c>
      <c r="E8" s="5">
        <f>2*(SUM(HSD!E8:E15)+4*HSD!E16+HSD!E39)/13</f>
        <v>0.22831820480547502</v>
      </c>
      <c r="F8" s="5">
        <f>2*(SUM(HSD!F8:F15)+4*HSD!F16+HSD!F39)/13</f>
        <v>0.3255333973851649</v>
      </c>
      <c r="G8" s="5">
        <f>2*(SUM(HSD!G8:G15)+4*HSD!G16+HSD!G39)/13</f>
        <v>0.21152959698650559</v>
      </c>
      <c r="H8" s="5">
        <f>2*(SUM(HSD!H8:H15)+4*HSD!H16+HSD!H39)/13</f>
        <v>-8.7582327609523197E-2</v>
      </c>
      <c r="I8" s="5">
        <f>2*(SUM(HSD!I8:I15)+4*HSD!I16+HSD!I39)/13</f>
        <v>-0.4053995744566174</v>
      </c>
      <c r="J8" s="5">
        <f>2*(SUM(HSD!J8:J15)+4*HSD!J16+HSD!J39)/13</f>
        <v>-0.48948762316092631</v>
      </c>
      <c r="K8" s="5">
        <f>2*(SUM(HSD!K8:K15)+4*HSD!K16+HSD!K39)/13</f>
        <v>-0.39405762114832721</v>
      </c>
    </row>
    <row r="9" spans="1:11" ht="15.75" customHeight="1" x14ac:dyDescent="0.25">
      <c r="A9" s="5">
        <v>9</v>
      </c>
      <c r="B9" s="5">
        <f>2*(SUM(HSD!B9:B16)+4*HSD!B17+HSD!B40)/13</f>
        <v>0.18462902498065631</v>
      </c>
      <c r="C9" s="5">
        <f>2*(SUM(HSD!C9:C16)+4*HSD!C17+HSD!C40)/13</f>
        <v>0.24214017052931303</v>
      </c>
      <c r="D9" s="5">
        <f>2*(SUM(HSD!D9:D16)+4*HSD!D17+HSD!D40)/13</f>
        <v>0.30150334319286637</v>
      </c>
      <c r="E9" s="5">
        <f>2*(SUM(HSD!E9:E16)+4*HSD!E17+HSD!E40)/13</f>
        <v>0.36334825237219065</v>
      </c>
      <c r="F9" s="5">
        <f>2*(SUM(HSD!F9:F16)+4*HSD!F17+HSD!F40)/13</f>
        <v>0.44337460889206304</v>
      </c>
      <c r="G9" s="5">
        <f>2*(SUM(HSD!G9:G16)+4*HSD!G17+HSD!G40)/13</f>
        <v>0.37000371337194804</v>
      </c>
      <c r="H9" s="5">
        <f>2*(SUM(HSD!H9:H16)+4*HSD!H17+HSD!H40)/13</f>
        <v>0.21532327264714252</v>
      </c>
      <c r="I9" s="5">
        <f>2*(SUM(HSD!I9:I16)+4*HSD!I17+HSD!I40)/13</f>
        <v>-9.3659752356483592E-2</v>
      </c>
      <c r="J9" s="5">
        <f>2*(SUM(HSD!J9:J16)+4*HSD!J17+HSD!J40)/13</f>
        <v>-0.29664343180334252</v>
      </c>
      <c r="K9" s="5">
        <f>2*(SUM(HSD!K9:K16)+4*HSD!K17+HSD!K40)/13</f>
        <v>-0.13136155755613241</v>
      </c>
    </row>
    <row r="10" spans="1:11" ht="15.75" customHeight="1" x14ac:dyDescent="0.25">
      <c r="A10" s="5">
        <v>10</v>
      </c>
      <c r="B10" s="5">
        <f>2*(SUM(HSD!B10:B17)+4*HSD!B18+HSD!B41)/13</f>
        <v>0.36499998801808975</v>
      </c>
      <c r="C10" s="5">
        <f>2*(SUM(HSD!C10:C17)+4*HSD!C18+HSD!C41)/13</f>
        <v>0.41217595162788179</v>
      </c>
      <c r="D10" s="5">
        <f>2*(SUM(HSD!D10:D17)+4*HSD!D18+HSD!D41)/13</f>
        <v>0.460940243794354</v>
      </c>
      <c r="E10" s="5">
        <f>2*(SUM(HSD!E10:E17)+4*HSD!E18+HSD!E41)/13</f>
        <v>0.51251710900326775</v>
      </c>
      <c r="F10" s="5">
        <f>2*(SUM(HSD!F10:F17)+4*HSD!F18+HSD!F41)/13</f>
        <v>0.57559016859776868</v>
      </c>
      <c r="G10" s="5">
        <f>2*(SUM(HSD!G10:G17)+4*HSD!G18+HSD!G41)/13</f>
        <v>0.51381748867217314</v>
      </c>
      <c r="H10" s="5">
        <f>2*(SUM(HSD!H10:H17)+4*HSD!H18+HSD!H41)/13</f>
        <v>0.39590741666395224</v>
      </c>
      <c r="I10" s="5">
        <f>2*(SUM(HSD!I10:I17)+4*HSD!I18+HSD!I41)/13</f>
        <v>0.23305918213856772</v>
      </c>
      <c r="J10" s="5">
        <f>2*(SUM(HSD!J10:J17)+4*HSD!J18+HSD!J41)/13</f>
        <v>5.061704608173629E-2</v>
      </c>
      <c r="K10" s="5">
        <f>2*(SUM(HSD!K10:K17)+4*HSD!K18+HSD!K41)/13</f>
        <v>0.16289941589055185</v>
      </c>
    </row>
    <row r="11" spans="1:11" ht="15.75" customHeight="1" x14ac:dyDescent="0.25">
      <c r="A11" s="5" t="s">
        <v>2</v>
      </c>
      <c r="B11" s="5">
        <f>2*(SUM(Stand!B32:B40)+4*Stand!B41)/13</f>
        <v>0.47064092333946894</v>
      </c>
      <c r="C11" s="5">
        <f>2*(SUM(Stand!C32:C40)+4*Stand!C41)/13</f>
        <v>0.51779525312221664</v>
      </c>
      <c r="D11" s="5">
        <f>2*(SUM(Stand!D32:D40)+4*Stand!D41)/13</f>
        <v>0.56604055041797596</v>
      </c>
      <c r="E11" s="5">
        <f>2*(SUM(Stand!E32:E40)+4*Stand!E41)/13</f>
        <v>0.61469901790902803</v>
      </c>
      <c r="F11" s="5">
        <f>2*(SUM(Stand!F32:F40)+4*Stand!F41)/13</f>
        <v>0.66738009490756955</v>
      </c>
      <c r="G11" s="5">
        <f>2*(SUM(Stand!G32:G40)+4*Stand!G41)/13</f>
        <v>0.46288894886429088</v>
      </c>
      <c r="H11" s="5">
        <f>2*(SUM(Stand!H32:H40)+4*Stand!H41)/13</f>
        <v>0.35069259087031512</v>
      </c>
      <c r="I11" s="5">
        <f>2*(SUM(Stand!I32:I40)+4*Stand!I41)/13</f>
        <v>0.22778342315245478</v>
      </c>
      <c r="J11" s="5">
        <f>2*(SUM(Stand!J32:J40)+4*Stand!J41)/13</f>
        <v>0.17968872741114625</v>
      </c>
      <c r="K11" s="5">
        <f>2*(SUM(Stand!K32:K40)+4*Stand!K41)/13</f>
        <v>0.10906077977909699</v>
      </c>
    </row>
    <row r="13" spans="1:11" ht="15.75" customHeight="1" x14ac:dyDescent="0.25">
      <c r="A13" s="5" t="s">
        <v>13</v>
      </c>
    </row>
    <row r="15" spans="1:11" ht="15.75" customHeight="1" x14ac:dyDescent="0.25">
      <c r="A15" s="5" t="s">
        <v>7</v>
      </c>
      <c r="B15" s="5">
        <v>2</v>
      </c>
      <c r="C15" s="5">
        <v>3</v>
      </c>
      <c r="D15" s="5">
        <v>4</v>
      </c>
      <c r="E15" s="5">
        <v>5</v>
      </c>
      <c r="F15" s="5">
        <v>6</v>
      </c>
      <c r="G15" s="5">
        <v>7</v>
      </c>
      <c r="H15" s="5">
        <v>8</v>
      </c>
      <c r="I15" s="5">
        <v>9</v>
      </c>
      <c r="J15" s="5">
        <v>10</v>
      </c>
      <c r="K15" s="5" t="s">
        <v>2</v>
      </c>
    </row>
    <row r="16" spans="1:11" ht="15.75" customHeight="1" x14ac:dyDescent="0.25">
      <c r="A16" s="5">
        <v>2</v>
      </c>
      <c r="B16" s="5">
        <f>MAX(B2,HSD!B2)</f>
        <v>-8.8887240897114583E-2</v>
      </c>
      <c r="C16" s="5">
        <f>MAX(C2,HSD!C2)</f>
        <v>-2.5616130479246414E-2</v>
      </c>
      <c r="D16" s="5">
        <f>MAX(D2,HSD!D2)</f>
        <v>4.2946629568768907E-2</v>
      </c>
      <c r="E16" s="5">
        <f>MAX(E2,HSD!E2)</f>
        <v>0.12724982334843896</v>
      </c>
      <c r="F16" s="5">
        <f>MAX(F2,HSD!F2)</f>
        <v>0.19477859816579277</v>
      </c>
      <c r="G16" s="5">
        <f>MAX(G2,HSD!G2)</f>
        <v>-7.3993244927046632E-3</v>
      </c>
      <c r="H16" s="5">
        <f>MAX(H2,HSD!H2)</f>
        <v>-0.15933415266020509</v>
      </c>
      <c r="I16" s="5">
        <f>MAX(I2,HSD!I2)</f>
        <v>-0.24066617915336547</v>
      </c>
      <c r="J16" s="5">
        <f>MAX(J2,HSD!J2)</f>
        <v>-0.28919791448567511</v>
      </c>
      <c r="K16" s="5">
        <f>MAX(K2,HSD!K2)</f>
        <v>-0.25307699440390868</v>
      </c>
    </row>
    <row r="17" spans="1:11" ht="15.75" customHeight="1" x14ac:dyDescent="0.25">
      <c r="A17" s="5">
        <v>3</v>
      </c>
      <c r="B17" s="5">
        <f>MAX(B3,HSD!B4)</f>
        <v>-0.13816353305492135</v>
      </c>
      <c r="C17" s="5">
        <f>MAX(C3,HSD!C4)</f>
        <v>-6.3866434744217354E-2</v>
      </c>
      <c r="D17" s="5">
        <f>MAX(D3,HSD!D4)</f>
        <v>1.4624872422626991E-2</v>
      </c>
      <c r="E17" s="5">
        <f>MAX(E3,HSD!E4)</f>
        <v>0.10229274834073326</v>
      </c>
      <c r="F17" s="5">
        <f>MAX(F3,HSD!F4)</f>
        <v>0.16942022384102598</v>
      </c>
      <c r="G17" s="5">
        <f>MAX(G3,HSD!G4)</f>
        <v>-6.7760458821693487E-2</v>
      </c>
      <c r="H17" s="5">
        <f>MAX(H3,HSD!H4)</f>
        <v>-0.21724188132078476</v>
      </c>
      <c r="I17" s="5">
        <f>MAX(I3,HSD!I4)</f>
        <v>-0.29264070019772598</v>
      </c>
      <c r="J17" s="5">
        <f>MAX(J3,HSD!J4)</f>
        <v>-0.33774944037840804</v>
      </c>
      <c r="K17" s="5">
        <f>MAX(K3,HSD!K4)</f>
        <v>-0.30414663097569938</v>
      </c>
    </row>
    <row r="18" spans="1:11" ht="15.75" customHeight="1" x14ac:dyDescent="0.25">
      <c r="A18" s="5">
        <v>4</v>
      </c>
      <c r="B18" s="5">
        <f>MAX(B4,HSD!B6)</f>
        <v>-2.1798188008805668E-2</v>
      </c>
      <c r="C18" s="5">
        <f>MAX(C4,HSD!C6)</f>
        <v>8.0052625306546651E-3</v>
      </c>
      <c r="D18" s="5">
        <f>MAX(D4,HSD!D6)</f>
        <v>3.8784473277208811E-2</v>
      </c>
      <c r="E18" s="5">
        <f>MAX(E4,HSD!E6)</f>
        <v>8.0259872887869343E-2</v>
      </c>
      <c r="F18" s="5">
        <f>MAX(F4,HSD!F6)</f>
        <v>0.14595673491924682</v>
      </c>
      <c r="G18" s="5">
        <f>MAX(G4,HSD!G6)</f>
        <v>8.2207439363742862E-2</v>
      </c>
      <c r="H18" s="5">
        <f>MAX(H4,HSD!H6)</f>
        <v>-5.9898275658656304E-2</v>
      </c>
      <c r="I18" s="5">
        <f>MAX(I4,HSD!I6)</f>
        <v>-0.21018633199821762</v>
      </c>
      <c r="J18" s="5">
        <f>MAX(J4,HSD!J6)</f>
        <v>-0.24937508055334259</v>
      </c>
      <c r="K18" s="5">
        <f>MAX(K4,HSD!K6)</f>
        <v>-0.1970288105741636</v>
      </c>
    </row>
    <row r="19" spans="1:11" ht="15.75" customHeight="1" x14ac:dyDescent="0.25">
      <c r="A19" s="5">
        <v>5</v>
      </c>
      <c r="B19" s="5">
        <f>MAX(B5,HSD!B8)</f>
        <v>0.3589394124422991</v>
      </c>
      <c r="C19" s="5">
        <f>MAX(C5,HSD!C8)</f>
        <v>0.40932067017593915</v>
      </c>
      <c r="D19" s="5">
        <f>MAX(D5,HSD!D8)</f>
        <v>0.460940243794354</v>
      </c>
      <c r="E19" s="5">
        <f>MAX(E5,HSD!E8)</f>
        <v>0.51251710900326775</v>
      </c>
      <c r="F19" s="5">
        <f>MAX(F5,HSD!F8)</f>
        <v>0.57559016859776868</v>
      </c>
      <c r="G19" s="5">
        <f>MAX(G5,HSD!G8)</f>
        <v>0.39241245528243773</v>
      </c>
      <c r="H19" s="5">
        <f>MAX(H5,HSD!H8)</f>
        <v>0.28663571688628381</v>
      </c>
      <c r="I19" s="5">
        <f>MAX(I5,HSD!I8)</f>
        <v>0.14432836838077112</v>
      </c>
      <c r="J19" s="5">
        <f>MAX(J5,HSD!J8)</f>
        <v>2.5308523040868145E-2</v>
      </c>
      <c r="K19" s="5">
        <f>MAX(K5,HSD!K8)</f>
        <v>8.1449707945275923E-2</v>
      </c>
    </row>
    <row r="20" spans="1:11" ht="12.5" x14ac:dyDescent="0.25">
      <c r="A20" s="5">
        <v>6</v>
      </c>
      <c r="B20" s="5">
        <f>MAX(B6,HSD!B10)</f>
        <v>-0.21863675917925615</v>
      </c>
      <c r="C20" s="5">
        <f>MAX(C6,HSD!C10)</f>
        <v>-0.13667841243230397</v>
      </c>
      <c r="D20" s="5">
        <f>MAX(D6,HSD!D10)</f>
        <v>-4.9559710729696275E-2</v>
      </c>
      <c r="E20" s="5">
        <f>MAX(E6,HSD!E10)</f>
        <v>4.3986900993555816E-2</v>
      </c>
      <c r="F20" s="5">
        <f>MAX(F6,HSD!F10)</f>
        <v>0.10792266460833713</v>
      </c>
      <c r="G20" s="5">
        <f>MAX(G6,HSD!G10)</f>
        <v>-0.21284771451731427</v>
      </c>
      <c r="H20" s="5">
        <f>MAX(H6,HSD!H10)</f>
        <v>-0.27157480502428616</v>
      </c>
      <c r="I20" s="5">
        <f>MAX(I6,HSD!I10)</f>
        <v>-0.3400132806089356</v>
      </c>
      <c r="J20" s="5">
        <f>MAX(J6,HSD!J10)</f>
        <v>-0.38104299284808757</v>
      </c>
      <c r="K20" s="5">
        <f>MAX(K6,HSD!K10)</f>
        <v>-0.35054034044008009</v>
      </c>
    </row>
    <row r="21" spans="1:11" ht="12.5" x14ac:dyDescent="0.25">
      <c r="A21" s="5">
        <v>7</v>
      </c>
      <c r="B21" s="5">
        <f>MAX(B7,HSD!B12)</f>
        <v>-0.1554853799924491</v>
      </c>
      <c r="C21" s="5">
        <f>MAX(C7,HSD!C12)</f>
        <v>-7.4766650789560851E-2</v>
      </c>
      <c r="D21" s="5">
        <f>MAX(D7,HSD!D12)</f>
        <v>1.0511467456082583E-2</v>
      </c>
      <c r="E21" s="5">
        <f>MAX(E7,HSD!E12)</f>
        <v>9.9964621687930175E-2</v>
      </c>
      <c r="F21" s="5">
        <f>MAX(F7,HSD!F12)</f>
        <v>0.1876912392044838</v>
      </c>
      <c r="G21" s="5">
        <f>MAX(G7,HSD!G12)</f>
        <v>-9.0500880901835695E-2</v>
      </c>
      <c r="H21" s="5">
        <f>MAX(H7,HSD!H12)</f>
        <v>-0.37191909208726709</v>
      </c>
      <c r="I21" s="5">
        <f>MAX(I7,HSD!I12)</f>
        <v>-0.43092981848423528</v>
      </c>
      <c r="J21" s="5">
        <f>MAX(J7,HSD!J12)</f>
        <v>-0.46630747852717758</v>
      </c>
      <c r="K21" s="5">
        <f>MAX(K7,HSD!K12)</f>
        <v>-0.44000672211415065</v>
      </c>
    </row>
    <row r="22" spans="1:11" ht="12.5" x14ac:dyDescent="0.25">
      <c r="A22" s="5">
        <v>8</v>
      </c>
      <c r="B22" s="5">
        <f>MAX(B8,HSD!B14)</f>
        <v>1.9285099723172255E-2</v>
      </c>
      <c r="C22" s="5">
        <f>MAX(C8,HSD!C14)</f>
        <v>8.6887860476253229E-2</v>
      </c>
      <c r="D22" s="5">
        <f>MAX(D8,HSD!D14)</f>
        <v>0.15656746918613532</v>
      </c>
      <c r="E22" s="5">
        <f>MAX(E8,HSD!E14)</f>
        <v>0.22831820480547502</v>
      </c>
      <c r="F22" s="5">
        <f>MAX(F8,HSD!F14)</f>
        <v>0.3255333973851649</v>
      </c>
      <c r="G22" s="5">
        <f>MAX(G8,HSD!G14)</f>
        <v>0.21152959698650559</v>
      </c>
      <c r="H22" s="5">
        <f>MAX(H8,HSD!H14)</f>
        <v>-8.7582327609523197E-2</v>
      </c>
      <c r="I22" s="5">
        <f>MAX(I8,HSD!I14)</f>
        <v>-0.4053995744566174</v>
      </c>
      <c r="J22" s="5">
        <f>MAX(J8,HSD!J14)</f>
        <v>-0.48948762316092631</v>
      </c>
      <c r="K22" s="5">
        <f>MAX(K8,HSD!K14)</f>
        <v>-0.39405762114832721</v>
      </c>
    </row>
    <row r="23" spans="1:11" ht="12.5" x14ac:dyDescent="0.25">
      <c r="A23" s="5">
        <v>9</v>
      </c>
      <c r="B23" s="5">
        <f>MAX(B9,HSD!B16)</f>
        <v>0.18462902498065631</v>
      </c>
      <c r="C23" s="5">
        <f>MAX(C9,HSD!C16)</f>
        <v>0.24214017052931303</v>
      </c>
      <c r="D23" s="5">
        <f>MAX(D9,HSD!D16)</f>
        <v>0.30150334319286637</v>
      </c>
      <c r="E23" s="5">
        <f>MAX(E9,HSD!E16)</f>
        <v>0.36334825237219065</v>
      </c>
      <c r="F23" s="5">
        <f>MAX(F9,HSD!F16)</f>
        <v>0.44337460889206304</v>
      </c>
      <c r="G23" s="5">
        <f>MAX(G9,HSD!G16)</f>
        <v>0.3995541673365518</v>
      </c>
      <c r="H23" s="5">
        <f>MAX(H9,HSD!H16)</f>
        <v>0.21532327264714252</v>
      </c>
      <c r="I23" s="5">
        <f>MAX(I9,HSD!I16)</f>
        <v>-9.3659752356483592E-2</v>
      </c>
      <c r="J23" s="5">
        <f>MAX(J9,HSD!J16)</f>
        <v>-0.17830123379648949</v>
      </c>
      <c r="K23" s="5">
        <f>MAX(K9,HSD!K16)</f>
        <v>-0.10019887561319057</v>
      </c>
    </row>
    <row r="24" spans="1:11" ht="12.5" x14ac:dyDescent="0.25">
      <c r="A24" s="5">
        <v>10</v>
      </c>
      <c r="B24" s="5">
        <f>MAX(B10,HSD!B18)</f>
        <v>0.63998657521683877</v>
      </c>
      <c r="C24" s="5">
        <f>MAX(C10,HSD!C18)</f>
        <v>0.65027209425148136</v>
      </c>
      <c r="D24" s="5">
        <f>MAX(D10,HSD!D18)</f>
        <v>0.66104996194807186</v>
      </c>
      <c r="E24" s="5">
        <f>MAX(E10,HSD!E18)</f>
        <v>0.67035969063279999</v>
      </c>
      <c r="F24" s="5">
        <f>MAX(F10,HSD!F18)</f>
        <v>0.70395857017134467</v>
      </c>
      <c r="G24" s="5">
        <f>MAX(G10,HSD!G18)</f>
        <v>0.77322722653717491</v>
      </c>
      <c r="H24" s="5">
        <f>MAX(H10,HSD!H18)</f>
        <v>0.79181515955189841</v>
      </c>
      <c r="I24" s="5">
        <f>MAX(I10,HSD!I18)</f>
        <v>0.75835687080859615</v>
      </c>
      <c r="J24" s="5">
        <f>MAX(J10,HSD!J18)</f>
        <v>0.55453756646817121</v>
      </c>
      <c r="K24" s="5">
        <f>MAX(K10,HSD!K18)</f>
        <v>0.65547032314990239</v>
      </c>
    </row>
    <row r="25" spans="1:11" ht="12.5" x14ac:dyDescent="0.25">
      <c r="A25" s="5" t="s">
        <v>2</v>
      </c>
      <c r="B25" s="5">
        <f>MAX(B11,HSD!B32)</f>
        <v>0.47064092333946894</v>
      </c>
      <c r="C25" s="5">
        <f>MAX(C11,HSD!C32)</f>
        <v>0.51779525312221664</v>
      </c>
      <c r="D25" s="5">
        <f>MAX(D11,HSD!D32)</f>
        <v>0.56604055041797596</v>
      </c>
      <c r="E25" s="5">
        <f>MAX(E11,HSD!E32)</f>
        <v>0.61469901790902803</v>
      </c>
      <c r="F25" s="5">
        <f>MAX(F11,HSD!F32)</f>
        <v>0.66738009490756955</v>
      </c>
      <c r="G25" s="5">
        <f>MAX(G11,HSD!G32)</f>
        <v>0.46288894886429088</v>
      </c>
      <c r="H25" s="5">
        <f>MAX(H11,HSD!H32)</f>
        <v>0.35069259087031512</v>
      </c>
      <c r="I25" s="5">
        <f>MAX(I11,HSD!I32)</f>
        <v>0.22778342315245478</v>
      </c>
      <c r="J25" s="5">
        <f>MAX(J11,HSD!J32)</f>
        <v>0.17968872741114625</v>
      </c>
      <c r="K25" s="5">
        <f>MAX(K11,HSD!K32)</f>
        <v>0.10906077977909699</v>
      </c>
    </row>
    <row r="27" spans="1:11" ht="12.5" x14ac:dyDescent="0.25">
      <c r="A27" s="5" t="s">
        <v>14</v>
      </c>
    </row>
    <row r="29" spans="1:11" ht="12.5" x14ac:dyDescent="0.25">
      <c r="A29" s="8" t="s">
        <v>7</v>
      </c>
      <c r="B29" s="9">
        <v>2</v>
      </c>
      <c r="C29" s="9">
        <v>3</v>
      </c>
      <c r="D29" s="9">
        <v>4</v>
      </c>
      <c r="E29" s="9">
        <v>5</v>
      </c>
      <c r="F29" s="9">
        <v>6</v>
      </c>
      <c r="G29" s="9">
        <v>7</v>
      </c>
      <c r="H29" s="9">
        <v>8</v>
      </c>
      <c r="I29" s="9">
        <v>9</v>
      </c>
      <c r="J29" s="9">
        <v>10</v>
      </c>
      <c r="K29" s="8" t="s">
        <v>2</v>
      </c>
    </row>
    <row r="30" spans="1:11" ht="12.5" x14ac:dyDescent="0.25">
      <c r="A30" s="9">
        <v>2</v>
      </c>
      <c r="B30" s="2" t="str">
        <f t="shared" ref="B30:K30" si="0">IF(B16=B2,"Y","N")</f>
        <v>Y</v>
      </c>
      <c r="C30" s="2" t="str">
        <f t="shared" si="0"/>
        <v>Y</v>
      </c>
      <c r="D30" s="2" t="str">
        <f t="shared" si="0"/>
        <v>Y</v>
      </c>
      <c r="E30" s="2" t="str">
        <f t="shared" si="0"/>
        <v>Y</v>
      </c>
      <c r="F30" s="2" t="str">
        <f t="shared" si="0"/>
        <v>Y</v>
      </c>
      <c r="G30" s="2" t="str">
        <f t="shared" si="0"/>
        <v>Y</v>
      </c>
      <c r="H30" s="2" t="str">
        <f t="shared" si="0"/>
        <v>N</v>
      </c>
      <c r="I30" s="2" t="str">
        <f t="shared" si="0"/>
        <v>N</v>
      </c>
      <c r="J30" s="2" t="str">
        <f t="shared" si="0"/>
        <v>N</v>
      </c>
      <c r="K30" s="2" t="str">
        <f t="shared" si="0"/>
        <v>N</v>
      </c>
    </row>
    <row r="31" spans="1:11" ht="12.5" x14ac:dyDescent="0.25">
      <c r="A31" s="9">
        <v>3</v>
      </c>
      <c r="B31" s="2" t="str">
        <f t="shared" ref="B31:K31" si="1">IF(B17=B3,"Y","N")</f>
        <v>Y</v>
      </c>
      <c r="C31" s="2" t="str">
        <f t="shared" si="1"/>
        <v>Y</v>
      </c>
      <c r="D31" s="2" t="str">
        <f t="shared" si="1"/>
        <v>Y</v>
      </c>
      <c r="E31" s="2" t="str">
        <f t="shared" si="1"/>
        <v>Y</v>
      </c>
      <c r="F31" s="2" t="str">
        <f t="shared" si="1"/>
        <v>Y</v>
      </c>
      <c r="G31" s="2" t="str">
        <f t="shared" si="1"/>
        <v>Y</v>
      </c>
      <c r="H31" s="2" t="str">
        <f t="shared" si="1"/>
        <v>N</v>
      </c>
      <c r="I31" s="2" t="str">
        <f t="shared" si="1"/>
        <v>N</v>
      </c>
      <c r="J31" s="2" t="str">
        <f t="shared" si="1"/>
        <v>N</v>
      </c>
      <c r="K31" s="2" t="str">
        <f t="shared" si="1"/>
        <v>N</v>
      </c>
    </row>
    <row r="32" spans="1:11" ht="12.5" x14ac:dyDescent="0.25">
      <c r="A32" s="9">
        <v>4</v>
      </c>
      <c r="B32" s="2" t="str">
        <f t="shared" ref="B32:K32" si="2">IF(B18=B4,"Y","N")</f>
        <v>N</v>
      </c>
      <c r="C32" s="2" t="str">
        <f t="shared" si="2"/>
        <v>N</v>
      </c>
      <c r="D32" s="2" t="str">
        <f t="shared" si="2"/>
        <v>N</v>
      </c>
      <c r="E32" s="2" t="str">
        <f t="shared" si="2"/>
        <v>Y</v>
      </c>
      <c r="F32" s="2" t="str">
        <f t="shared" si="2"/>
        <v>Y</v>
      </c>
      <c r="G32" s="2" t="str">
        <f t="shared" si="2"/>
        <v>N</v>
      </c>
      <c r="H32" s="2" t="str">
        <f t="shared" si="2"/>
        <v>N</v>
      </c>
      <c r="I32" s="2" t="str">
        <f t="shared" si="2"/>
        <v>N</v>
      </c>
      <c r="J32" s="2" t="str">
        <f t="shared" si="2"/>
        <v>N</v>
      </c>
      <c r="K32" s="2" t="str">
        <f t="shared" si="2"/>
        <v>N</v>
      </c>
    </row>
    <row r="33" spans="1:11" ht="12.5" x14ac:dyDescent="0.25">
      <c r="A33" s="9">
        <v>5</v>
      </c>
      <c r="B33" s="2" t="str">
        <f t="shared" ref="B33:K33" si="3">IF(B19=B5,"Y","N")</f>
        <v>N</v>
      </c>
      <c r="C33" s="2" t="str">
        <f t="shared" si="3"/>
        <v>N</v>
      </c>
      <c r="D33" s="2" t="str">
        <f t="shared" si="3"/>
        <v>N</v>
      </c>
      <c r="E33" s="2" t="str">
        <f t="shared" si="3"/>
        <v>N</v>
      </c>
      <c r="F33" s="2" t="str">
        <f t="shared" si="3"/>
        <v>N</v>
      </c>
      <c r="G33" s="2" t="str">
        <f t="shared" si="3"/>
        <v>N</v>
      </c>
      <c r="H33" s="2" t="str">
        <f t="shared" si="3"/>
        <v>N</v>
      </c>
      <c r="I33" s="2" t="str">
        <f t="shared" si="3"/>
        <v>N</v>
      </c>
      <c r="J33" s="2" t="str">
        <f t="shared" si="3"/>
        <v>N</v>
      </c>
      <c r="K33" s="2" t="str">
        <f t="shared" si="3"/>
        <v>N</v>
      </c>
    </row>
    <row r="34" spans="1:11" ht="12.5" x14ac:dyDescent="0.25">
      <c r="A34" s="9">
        <v>6</v>
      </c>
      <c r="B34" s="2" t="str">
        <f t="shared" ref="B34:K34" si="4">IF(B20=B6,"Y","N")</f>
        <v>Y</v>
      </c>
      <c r="C34" s="2" t="str">
        <f t="shared" si="4"/>
        <v>Y</v>
      </c>
      <c r="D34" s="2" t="str">
        <f t="shared" si="4"/>
        <v>Y</v>
      </c>
      <c r="E34" s="2" t="str">
        <f t="shared" si="4"/>
        <v>Y</v>
      </c>
      <c r="F34" s="2" t="str">
        <f t="shared" si="4"/>
        <v>Y</v>
      </c>
      <c r="G34" s="2" t="str">
        <f t="shared" si="4"/>
        <v>N</v>
      </c>
      <c r="H34" s="2" t="str">
        <f t="shared" si="4"/>
        <v>N</v>
      </c>
      <c r="I34" s="2" t="str">
        <f t="shared" si="4"/>
        <v>N</v>
      </c>
      <c r="J34" s="2" t="str">
        <f t="shared" si="4"/>
        <v>N</v>
      </c>
      <c r="K34" s="2" t="str">
        <f t="shared" si="4"/>
        <v>N</v>
      </c>
    </row>
    <row r="35" spans="1:11" ht="12.5" x14ac:dyDescent="0.25">
      <c r="A35" s="9">
        <v>7</v>
      </c>
      <c r="B35" s="2" t="str">
        <f t="shared" ref="B35:K35" si="5">IF(B21=B7,"Y","N")</f>
        <v>Y</v>
      </c>
      <c r="C35" s="2" t="str">
        <f t="shared" si="5"/>
        <v>Y</v>
      </c>
      <c r="D35" s="2" t="str">
        <f t="shared" si="5"/>
        <v>Y</v>
      </c>
      <c r="E35" s="2" t="str">
        <f t="shared" si="5"/>
        <v>Y</v>
      </c>
      <c r="F35" s="2" t="str">
        <f t="shared" si="5"/>
        <v>Y</v>
      </c>
      <c r="G35" s="2" t="str">
        <f t="shared" si="5"/>
        <v>Y</v>
      </c>
      <c r="H35" s="2" t="str">
        <f t="shared" si="5"/>
        <v>N</v>
      </c>
      <c r="I35" s="2" t="str">
        <f t="shared" si="5"/>
        <v>N</v>
      </c>
      <c r="J35" s="2" t="str">
        <f t="shared" si="5"/>
        <v>N</v>
      </c>
      <c r="K35" s="2" t="str">
        <f t="shared" si="5"/>
        <v>N</v>
      </c>
    </row>
    <row r="36" spans="1:11" ht="12.5" x14ac:dyDescent="0.25">
      <c r="A36" s="9">
        <v>8</v>
      </c>
      <c r="B36" s="2" t="str">
        <f t="shared" ref="B36:K36" si="6">IF(B22=B8,"Y","N")</f>
        <v>Y</v>
      </c>
      <c r="C36" s="2" t="str">
        <f t="shared" si="6"/>
        <v>Y</v>
      </c>
      <c r="D36" s="2" t="str">
        <f t="shared" si="6"/>
        <v>Y</v>
      </c>
      <c r="E36" s="2" t="str">
        <f t="shared" si="6"/>
        <v>Y</v>
      </c>
      <c r="F36" s="2" t="str">
        <f t="shared" si="6"/>
        <v>Y</v>
      </c>
      <c r="G36" s="2" t="str">
        <f t="shared" si="6"/>
        <v>Y</v>
      </c>
      <c r="H36" s="2" t="str">
        <f t="shared" si="6"/>
        <v>Y</v>
      </c>
      <c r="I36" s="2" t="str">
        <f t="shared" si="6"/>
        <v>Y</v>
      </c>
      <c r="J36" s="2" t="str">
        <f t="shared" si="6"/>
        <v>Y</v>
      </c>
      <c r="K36" s="2" t="str">
        <f t="shared" si="6"/>
        <v>Y</v>
      </c>
    </row>
    <row r="37" spans="1:11" ht="12.5" x14ac:dyDescent="0.25">
      <c r="A37" s="9">
        <v>9</v>
      </c>
      <c r="B37" s="2" t="str">
        <f t="shared" ref="B37:K37" si="7">IF(B23=B9,"Y","N")</f>
        <v>Y</v>
      </c>
      <c r="C37" s="2" t="str">
        <f t="shared" si="7"/>
        <v>Y</v>
      </c>
      <c r="D37" s="2" t="str">
        <f t="shared" si="7"/>
        <v>Y</v>
      </c>
      <c r="E37" s="2" t="str">
        <f t="shared" si="7"/>
        <v>Y</v>
      </c>
      <c r="F37" s="2" t="str">
        <f t="shared" si="7"/>
        <v>Y</v>
      </c>
      <c r="G37" s="2" t="str">
        <f t="shared" si="7"/>
        <v>N</v>
      </c>
      <c r="H37" s="2" t="str">
        <f t="shared" si="7"/>
        <v>Y</v>
      </c>
      <c r="I37" s="2" t="str">
        <f t="shared" si="7"/>
        <v>Y</v>
      </c>
      <c r="J37" s="2" t="str">
        <f t="shared" si="7"/>
        <v>N</v>
      </c>
      <c r="K37" s="2" t="str">
        <f t="shared" si="7"/>
        <v>N</v>
      </c>
    </row>
    <row r="38" spans="1:11" ht="12.5" x14ac:dyDescent="0.25">
      <c r="A38" s="9">
        <v>10</v>
      </c>
      <c r="B38" s="2" t="str">
        <f t="shared" ref="B38:K38" si="8">IF(B24=B10,"Y","N")</f>
        <v>N</v>
      </c>
      <c r="C38" s="2" t="str">
        <f t="shared" si="8"/>
        <v>N</v>
      </c>
      <c r="D38" s="2" t="str">
        <f t="shared" si="8"/>
        <v>N</v>
      </c>
      <c r="E38" s="2" t="str">
        <f t="shared" si="8"/>
        <v>N</v>
      </c>
      <c r="F38" s="2" t="str">
        <f t="shared" si="8"/>
        <v>N</v>
      </c>
      <c r="G38" s="2" t="str">
        <f t="shared" si="8"/>
        <v>N</v>
      </c>
      <c r="H38" s="2" t="str">
        <f t="shared" si="8"/>
        <v>N</v>
      </c>
      <c r="I38" s="2" t="str">
        <f t="shared" si="8"/>
        <v>N</v>
      </c>
      <c r="J38" s="2" t="str">
        <f t="shared" si="8"/>
        <v>N</v>
      </c>
      <c r="K38" s="2" t="str">
        <f t="shared" si="8"/>
        <v>N</v>
      </c>
    </row>
    <row r="39" spans="1:11" ht="12.5" x14ac:dyDescent="0.25">
      <c r="A39" s="8" t="s">
        <v>2</v>
      </c>
      <c r="B39" s="2" t="str">
        <f t="shared" ref="B39:K39" si="9">IF(B25=B11,"Y","N")</f>
        <v>Y</v>
      </c>
      <c r="C39" s="2" t="str">
        <f t="shared" si="9"/>
        <v>Y</v>
      </c>
      <c r="D39" s="2" t="str">
        <f t="shared" si="9"/>
        <v>Y</v>
      </c>
      <c r="E39" s="2" t="str">
        <f t="shared" si="9"/>
        <v>Y</v>
      </c>
      <c r="F39" s="2" t="str">
        <f t="shared" si="9"/>
        <v>Y</v>
      </c>
      <c r="G39" s="2" t="str">
        <f t="shared" si="9"/>
        <v>Y</v>
      </c>
      <c r="H39" s="2" t="str">
        <f t="shared" si="9"/>
        <v>Y</v>
      </c>
      <c r="I39" s="2" t="str">
        <f t="shared" si="9"/>
        <v>Y</v>
      </c>
      <c r="J39" s="2" t="str">
        <f t="shared" si="9"/>
        <v>Y</v>
      </c>
      <c r="K39" s="2" t="str">
        <f t="shared" si="9"/>
        <v>Y</v>
      </c>
    </row>
  </sheetData>
  <conditionalFormatting sqref="B30:K39">
    <cfRule type="containsText" dxfId="1" priority="1" operator="containsText" text="Y">
      <formula>NOT(ISERROR(SEARCH(("Y"),(B30))))</formula>
    </cfRule>
    <cfRule type="containsText" dxfId="0" priority="2" operator="containsText" text="N">
      <formula>NOT(ISERROR(SEARCH(("N"),(B30))))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N84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.75" customHeight="1" x14ac:dyDescent="0.25"/>
  <sheetData>
    <row r="1" spans="1:14" ht="15.75" customHeight="1" x14ac:dyDescent="0.25">
      <c r="A1" s="5" t="s">
        <v>15</v>
      </c>
      <c r="B1" s="10" t="s">
        <v>16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5.75" customHeight="1" x14ac:dyDescent="0.25">
      <c r="A2" s="5"/>
      <c r="B2" s="5">
        <v>2</v>
      </c>
      <c r="C2" s="5">
        <v>3</v>
      </c>
      <c r="D2" s="5">
        <v>4</v>
      </c>
      <c r="E2" s="5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 t="s">
        <v>2</v>
      </c>
      <c r="L2" s="5"/>
      <c r="M2" s="5"/>
      <c r="N2" s="5"/>
    </row>
    <row r="3" spans="1:14" ht="15.75" customHeight="1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5.75" customHeight="1" x14ac:dyDescent="0.25">
      <c r="A4" s="5">
        <v>5</v>
      </c>
      <c r="B4" s="5">
        <f t="shared" ref="B4:I4" si="0">$B69*(1/13)</f>
        <v>9.1033227127901685E-4</v>
      </c>
      <c r="C4" s="5">
        <f t="shared" si="0"/>
        <v>9.1033227127901685E-4</v>
      </c>
      <c r="D4" s="5">
        <f t="shared" si="0"/>
        <v>9.1033227127901685E-4</v>
      </c>
      <c r="E4" s="5">
        <f t="shared" si="0"/>
        <v>9.1033227127901685E-4</v>
      </c>
      <c r="F4" s="5">
        <f t="shared" si="0"/>
        <v>9.1033227127901685E-4</v>
      </c>
      <c r="G4" s="5">
        <f t="shared" si="0"/>
        <v>9.1033227127901685E-4</v>
      </c>
      <c r="H4" s="5">
        <f t="shared" si="0"/>
        <v>9.1033227127901685E-4</v>
      </c>
      <c r="I4" s="5">
        <f t="shared" si="0"/>
        <v>9.1033227127901685E-4</v>
      </c>
      <c r="J4" s="5">
        <f t="shared" ref="J4:J18" si="1">$B69*(4/13)*(12/13)</f>
        <v>3.3612268477994471E-3</v>
      </c>
      <c r="K4" s="5">
        <f t="shared" ref="K4:K18" si="2">$B69*(1/13)*(9/13)</f>
        <v>6.3023003396239622E-4</v>
      </c>
      <c r="L4" s="5"/>
      <c r="M4" s="5"/>
      <c r="N4" s="5"/>
    </row>
    <row r="5" spans="1:14" ht="15.75" customHeight="1" x14ac:dyDescent="0.25">
      <c r="A5" s="5">
        <v>6</v>
      </c>
      <c r="B5" s="5">
        <f t="shared" ref="B5:I5" si="3">$B70*(1/13)</f>
        <v>9.1033227127901685E-4</v>
      </c>
      <c r="C5" s="5">
        <f t="shared" si="3"/>
        <v>9.1033227127901685E-4</v>
      </c>
      <c r="D5" s="5">
        <f t="shared" si="3"/>
        <v>9.1033227127901685E-4</v>
      </c>
      <c r="E5" s="5">
        <f t="shared" si="3"/>
        <v>9.1033227127901685E-4</v>
      </c>
      <c r="F5" s="5">
        <f t="shared" si="3"/>
        <v>9.1033227127901685E-4</v>
      </c>
      <c r="G5" s="5">
        <f t="shared" si="3"/>
        <v>9.1033227127901685E-4</v>
      </c>
      <c r="H5" s="5">
        <f t="shared" si="3"/>
        <v>9.1033227127901685E-4</v>
      </c>
      <c r="I5" s="5">
        <f t="shared" si="3"/>
        <v>9.1033227127901685E-4</v>
      </c>
      <c r="J5" s="5">
        <f t="shared" si="1"/>
        <v>3.3612268477994471E-3</v>
      </c>
      <c r="K5" s="5">
        <f t="shared" si="2"/>
        <v>6.3023003396239622E-4</v>
      </c>
      <c r="L5" s="5"/>
      <c r="M5" s="5"/>
      <c r="N5" s="5"/>
    </row>
    <row r="6" spans="1:14" ht="15.75" customHeight="1" x14ac:dyDescent="0.25">
      <c r="A6" s="5">
        <v>7</v>
      </c>
      <c r="B6" s="5">
        <f t="shared" ref="B6:I6" si="4">$B71*(1/13)</f>
        <v>1.8206645425580337E-3</v>
      </c>
      <c r="C6" s="5">
        <f t="shared" si="4"/>
        <v>1.8206645425580337E-3</v>
      </c>
      <c r="D6" s="5">
        <f t="shared" si="4"/>
        <v>1.8206645425580337E-3</v>
      </c>
      <c r="E6" s="5">
        <f t="shared" si="4"/>
        <v>1.8206645425580337E-3</v>
      </c>
      <c r="F6" s="5">
        <f t="shared" si="4"/>
        <v>1.8206645425580337E-3</v>
      </c>
      <c r="G6" s="5">
        <f t="shared" si="4"/>
        <v>1.8206645425580337E-3</v>
      </c>
      <c r="H6" s="5">
        <f t="shared" si="4"/>
        <v>1.8206645425580337E-3</v>
      </c>
      <c r="I6" s="5">
        <f t="shared" si="4"/>
        <v>1.8206645425580337E-3</v>
      </c>
      <c r="J6" s="5">
        <f t="shared" si="1"/>
        <v>6.7224536955988942E-3</v>
      </c>
      <c r="K6" s="5">
        <f t="shared" si="2"/>
        <v>1.2604600679247924E-3</v>
      </c>
      <c r="L6" s="5"/>
      <c r="M6" s="5"/>
      <c r="N6" s="5"/>
    </row>
    <row r="7" spans="1:14" ht="15.75" customHeight="1" x14ac:dyDescent="0.25">
      <c r="A7" s="5">
        <v>8</v>
      </c>
      <c r="B7" s="5">
        <f t="shared" ref="B7:I7" si="5">$B72*(1/13)</f>
        <v>1.8206645425580337E-3</v>
      </c>
      <c r="C7" s="5">
        <f t="shared" si="5"/>
        <v>1.8206645425580337E-3</v>
      </c>
      <c r="D7" s="5">
        <f t="shared" si="5"/>
        <v>1.8206645425580337E-3</v>
      </c>
      <c r="E7" s="5">
        <f t="shared" si="5"/>
        <v>1.8206645425580337E-3</v>
      </c>
      <c r="F7" s="5">
        <f t="shared" si="5"/>
        <v>1.8206645425580337E-3</v>
      </c>
      <c r="G7" s="5">
        <f t="shared" si="5"/>
        <v>1.8206645425580337E-3</v>
      </c>
      <c r="H7" s="5">
        <f t="shared" si="5"/>
        <v>1.8206645425580337E-3</v>
      </c>
      <c r="I7" s="5">
        <f t="shared" si="5"/>
        <v>1.8206645425580337E-3</v>
      </c>
      <c r="J7" s="5">
        <f t="shared" si="1"/>
        <v>6.7224536955988942E-3</v>
      </c>
      <c r="K7" s="5">
        <f t="shared" si="2"/>
        <v>1.2604600679247924E-3</v>
      </c>
      <c r="L7" s="5"/>
      <c r="M7" s="5"/>
      <c r="N7" s="5"/>
    </row>
    <row r="8" spans="1:14" ht="15.75" customHeight="1" x14ac:dyDescent="0.25">
      <c r="A8" s="5">
        <v>9</v>
      </c>
      <c r="B8" s="5">
        <f t="shared" ref="B8:I8" si="6">$B73*(1/13)</f>
        <v>2.7309968138370506E-3</v>
      </c>
      <c r="C8" s="5">
        <f t="shared" si="6"/>
        <v>2.7309968138370506E-3</v>
      </c>
      <c r="D8" s="5">
        <f t="shared" si="6"/>
        <v>2.7309968138370506E-3</v>
      </c>
      <c r="E8" s="5">
        <f t="shared" si="6"/>
        <v>2.7309968138370506E-3</v>
      </c>
      <c r="F8" s="5">
        <f t="shared" si="6"/>
        <v>2.7309968138370506E-3</v>
      </c>
      <c r="G8" s="5">
        <f t="shared" si="6"/>
        <v>2.7309968138370506E-3</v>
      </c>
      <c r="H8" s="5">
        <f t="shared" si="6"/>
        <v>2.7309968138370506E-3</v>
      </c>
      <c r="I8" s="5">
        <f t="shared" si="6"/>
        <v>2.7309968138370506E-3</v>
      </c>
      <c r="J8" s="5">
        <f t="shared" si="1"/>
        <v>1.0083680543398341E-2</v>
      </c>
      <c r="K8" s="5">
        <f t="shared" si="2"/>
        <v>1.8906901018871888E-3</v>
      </c>
      <c r="L8" s="5"/>
      <c r="M8" s="5"/>
      <c r="N8" s="5"/>
    </row>
    <row r="9" spans="1:14" ht="15.75" customHeight="1" x14ac:dyDescent="0.25">
      <c r="A9" s="5">
        <v>10</v>
      </c>
      <c r="B9" s="5">
        <f t="shared" ref="B9:I9" si="7">$B74*(1/13)</f>
        <v>2.7309968138370506E-3</v>
      </c>
      <c r="C9" s="5">
        <f t="shared" si="7"/>
        <v>2.7309968138370506E-3</v>
      </c>
      <c r="D9" s="5">
        <f t="shared" si="7"/>
        <v>2.7309968138370506E-3</v>
      </c>
      <c r="E9" s="5">
        <f t="shared" si="7"/>
        <v>2.7309968138370506E-3</v>
      </c>
      <c r="F9" s="5">
        <f t="shared" si="7"/>
        <v>2.7309968138370506E-3</v>
      </c>
      <c r="G9" s="5">
        <f t="shared" si="7"/>
        <v>2.7309968138370506E-3</v>
      </c>
      <c r="H9" s="5">
        <f t="shared" si="7"/>
        <v>2.7309968138370506E-3</v>
      </c>
      <c r="I9" s="5">
        <f t="shared" si="7"/>
        <v>2.7309968138370506E-3</v>
      </c>
      <c r="J9" s="5">
        <f t="shared" si="1"/>
        <v>1.0083680543398341E-2</v>
      </c>
      <c r="K9" s="5">
        <f t="shared" si="2"/>
        <v>1.8906901018871888E-3</v>
      </c>
      <c r="L9" s="5"/>
      <c r="M9" s="5"/>
      <c r="N9" s="5"/>
    </row>
    <row r="10" spans="1:14" ht="15.75" customHeight="1" x14ac:dyDescent="0.25">
      <c r="A10" s="5">
        <v>11</v>
      </c>
      <c r="B10" s="5">
        <f t="shared" ref="B10:I10" si="8">$B75*(1/13)</f>
        <v>3.6413290851160678E-3</v>
      </c>
      <c r="C10" s="5">
        <f t="shared" si="8"/>
        <v>3.6413290851160678E-3</v>
      </c>
      <c r="D10" s="5">
        <f t="shared" si="8"/>
        <v>3.6413290851160678E-3</v>
      </c>
      <c r="E10" s="5">
        <f t="shared" si="8"/>
        <v>3.6413290851160678E-3</v>
      </c>
      <c r="F10" s="5">
        <f t="shared" si="8"/>
        <v>3.6413290851160678E-3</v>
      </c>
      <c r="G10" s="5">
        <f t="shared" si="8"/>
        <v>3.6413290851160678E-3</v>
      </c>
      <c r="H10" s="5">
        <f t="shared" si="8"/>
        <v>3.6413290851160678E-3</v>
      </c>
      <c r="I10" s="5">
        <f t="shared" si="8"/>
        <v>3.6413290851160678E-3</v>
      </c>
      <c r="J10" s="5">
        <f t="shared" si="1"/>
        <v>1.344490739119779E-2</v>
      </c>
      <c r="K10" s="5">
        <f t="shared" si="2"/>
        <v>2.5209201358495853E-3</v>
      </c>
      <c r="L10" s="5"/>
      <c r="M10" s="5"/>
      <c r="N10" s="5"/>
    </row>
    <row r="11" spans="1:14" ht="15.75" customHeight="1" x14ac:dyDescent="0.25">
      <c r="A11" s="5">
        <v>12</v>
      </c>
      <c r="B11" s="5">
        <f t="shared" ref="B11:I11" si="9">$B76*(1/13)</f>
        <v>6.3723258989531184E-3</v>
      </c>
      <c r="C11" s="5">
        <f t="shared" si="9"/>
        <v>6.3723258989531184E-3</v>
      </c>
      <c r="D11" s="5">
        <f t="shared" si="9"/>
        <v>6.3723258989531184E-3</v>
      </c>
      <c r="E11" s="5">
        <f t="shared" si="9"/>
        <v>6.3723258989531184E-3</v>
      </c>
      <c r="F11" s="5">
        <f t="shared" si="9"/>
        <v>6.3723258989531184E-3</v>
      </c>
      <c r="G11" s="5">
        <f t="shared" si="9"/>
        <v>6.3723258989531184E-3</v>
      </c>
      <c r="H11" s="5">
        <f t="shared" si="9"/>
        <v>6.3723258989531184E-3</v>
      </c>
      <c r="I11" s="5">
        <f t="shared" si="9"/>
        <v>6.3723258989531184E-3</v>
      </c>
      <c r="J11" s="5">
        <f t="shared" si="1"/>
        <v>2.352858793459613E-2</v>
      </c>
      <c r="K11" s="5">
        <f t="shared" si="2"/>
        <v>4.4116102377367745E-3</v>
      </c>
      <c r="L11" s="5"/>
      <c r="M11" s="5"/>
      <c r="N11" s="5"/>
    </row>
    <row r="12" spans="1:14" ht="15.75" customHeight="1" x14ac:dyDescent="0.25">
      <c r="A12" s="5">
        <v>13</v>
      </c>
      <c r="B12" s="5">
        <f t="shared" ref="B12:I12" si="10">$B77*(1/13)</f>
        <v>6.3723258989531184E-3</v>
      </c>
      <c r="C12" s="5">
        <f t="shared" si="10"/>
        <v>6.3723258989531184E-3</v>
      </c>
      <c r="D12" s="5">
        <f t="shared" si="10"/>
        <v>6.3723258989531184E-3</v>
      </c>
      <c r="E12" s="5">
        <f t="shared" si="10"/>
        <v>6.3723258989531184E-3</v>
      </c>
      <c r="F12" s="5">
        <f t="shared" si="10"/>
        <v>6.3723258989531184E-3</v>
      </c>
      <c r="G12" s="5">
        <f t="shared" si="10"/>
        <v>6.3723258989531184E-3</v>
      </c>
      <c r="H12" s="5">
        <f t="shared" si="10"/>
        <v>6.3723258989531184E-3</v>
      </c>
      <c r="I12" s="5">
        <f t="shared" si="10"/>
        <v>6.3723258989531184E-3</v>
      </c>
      <c r="J12" s="5">
        <f t="shared" si="1"/>
        <v>2.352858793459613E-2</v>
      </c>
      <c r="K12" s="5">
        <f t="shared" si="2"/>
        <v>4.4116102377367745E-3</v>
      </c>
      <c r="L12" s="5"/>
      <c r="M12" s="5"/>
      <c r="N12" s="5"/>
    </row>
    <row r="13" spans="1:14" ht="15.75" customHeight="1" x14ac:dyDescent="0.25">
      <c r="A13" s="5">
        <v>14</v>
      </c>
      <c r="B13" s="5">
        <f t="shared" ref="B13:I13" si="11">$B78*(1/13)</f>
        <v>5.4619936276741011E-3</v>
      </c>
      <c r="C13" s="5">
        <f t="shared" si="11"/>
        <v>5.4619936276741011E-3</v>
      </c>
      <c r="D13" s="5">
        <f t="shared" si="11"/>
        <v>5.4619936276741011E-3</v>
      </c>
      <c r="E13" s="5">
        <f t="shared" si="11"/>
        <v>5.4619936276741011E-3</v>
      </c>
      <c r="F13" s="5">
        <f t="shared" si="11"/>
        <v>5.4619936276741011E-3</v>
      </c>
      <c r="G13" s="5">
        <f t="shared" si="11"/>
        <v>5.4619936276741011E-3</v>
      </c>
      <c r="H13" s="5">
        <f t="shared" si="11"/>
        <v>5.4619936276741011E-3</v>
      </c>
      <c r="I13" s="5">
        <f t="shared" si="11"/>
        <v>5.4619936276741011E-3</v>
      </c>
      <c r="J13" s="5">
        <f t="shared" si="1"/>
        <v>2.0167361086796683E-2</v>
      </c>
      <c r="K13" s="5">
        <f t="shared" si="2"/>
        <v>3.7813802037743776E-3</v>
      </c>
      <c r="L13" s="5"/>
      <c r="M13" s="5"/>
      <c r="N13" s="5"/>
    </row>
    <row r="14" spans="1:14" ht="15.75" customHeight="1" x14ac:dyDescent="0.25">
      <c r="A14" s="5">
        <v>15</v>
      </c>
      <c r="B14" s="5">
        <f t="shared" ref="B14:I14" si="12">$B79*(1/13)</f>
        <v>5.4619936276741011E-3</v>
      </c>
      <c r="C14" s="5">
        <f t="shared" si="12"/>
        <v>5.4619936276741011E-3</v>
      </c>
      <c r="D14" s="5">
        <f t="shared" si="12"/>
        <v>5.4619936276741011E-3</v>
      </c>
      <c r="E14" s="5">
        <f t="shared" si="12"/>
        <v>5.4619936276741011E-3</v>
      </c>
      <c r="F14" s="5">
        <f t="shared" si="12"/>
        <v>5.4619936276741011E-3</v>
      </c>
      <c r="G14" s="5">
        <f t="shared" si="12"/>
        <v>5.4619936276741011E-3</v>
      </c>
      <c r="H14" s="5">
        <f t="shared" si="12"/>
        <v>5.4619936276741011E-3</v>
      </c>
      <c r="I14" s="5">
        <f t="shared" si="12"/>
        <v>5.4619936276741011E-3</v>
      </c>
      <c r="J14" s="5">
        <f t="shared" si="1"/>
        <v>2.0167361086796683E-2</v>
      </c>
      <c r="K14" s="5">
        <f t="shared" si="2"/>
        <v>3.7813802037743776E-3</v>
      </c>
      <c r="L14" s="5"/>
      <c r="M14" s="5"/>
      <c r="N14" s="5"/>
    </row>
    <row r="15" spans="1:14" ht="15.75" customHeight="1" x14ac:dyDescent="0.25">
      <c r="A15" s="5">
        <v>16</v>
      </c>
      <c r="B15" s="5">
        <f t="shared" ref="B15:I15" si="13">$B80*(1/13)</f>
        <v>4.5516613563950847E-3</v>
      </c>
      <c r="C15" s="5">
        <f t="shared" si="13"/>
        <v>4.5516613563950847E-3</v>
      </c>
      <c r="D15" s="5">
        <f t="shared" si="13"/>
        <v>4.5516613563950847E-3</v>
      </c>
      <c r="E15" s="5">
        <f t="shared" si="13"/>
        <v>4.5516613563950847E-3</v>
      </c>
      <c r="F15" s="5">
        <f t="shared" si="13"/>
        <v>4.5516613563950847E-3</v>
      </c>
      <c r="G15" s="5">
        <f t="shared" si="13"/>
        <v>4.5516613563950847E-3</v>
      </c>
      <c r="H15" s="5">
        <f t="shared" si="13"/>
        <v>4.5516613563950847E-3</v>
      </c>
      <c r="I15" s="5">
        <f t="shared" si="13"/>
        <v>4.5516613563950847E-3</v>
      </c>
      <c r="J15" s="5">
        <f t="shared" si="1"/>
        <v>1.6806134238997236E-2</v>
      </c>
      <c r="K15" s="5">
        <f t="shared" si="2"/>
        <v>3.1511501698119814E-3</v>
      </c>
      <c r="L15" s="5"/>
      <c r="M15" s="5"/>
      <c r="N15" s="5"/>
    </row>
    <row r="16" spans="1:14" ht="15.75" customHeight="1" x14ac:dyDescent="0.25">
      <c r="A16" s="5">
        <v>17</v>
      </c>
      <c r="B16" s="5">
        <f t="shared" ref="B16:I16" si="14">$B81*(1/13)</f>
        <v>4.5516613563950847E-3</v>
      </c>
      <c r="C16" s="5">
        <f t="shared" si="14"/>
        <v>4.5516613563950847E-3</v>
      </c>
      <c r="D16" s="5">
        <f t="shared" si="14"/>
        <v>4.5516613563950847E-3</v>
      </c>
      <c r="E16" s="5">
        <f t="shared" si="14"/>
        <v>4.5516613563950847E-3</v>
      </c>
      <c r="F16" s="5">
        <f t="shared" si="14"/>
        <v>4.5516613563950847E-3</v>
      </c>
      <c r="G16" s="5">
        <f t="shared" si="14"/>
        <v>4.5516613563950847E-3</v>
      </c>
      <c r="H16" s="5">
        <f t="shared" si="14"/>
        <v>4.5516613563950847E-3</v>
      </c>
      <c r="I16" s="5">
        <f t="shared" si="14"/>
        <v>4.5516613563950847E-3</v>
      </c>
      <c r="J16" s="5">
        <f t="shared" si="1"/>
        <v>1.6806134238997236E-2</v>
      </c>
      <c r="K16" s="5">
        <f t="shared" si="2"/>
        <v>3.1511501698119814E-3</v>
      </c>
      <c r="L16" s="5"/>
      <c r="M16" s="5"/>
      <c r="N16" s="5"/>
    </row>
    <row r="17" spans="1:14" ht="15.75" customHeight="1" x14ac:dyDescent="0.25">
      <c r="A17" s="5">
        <v>18</v>
      </c>
      <c r="B17" s="5">
        <f t="shared" ref="B17:I17" si="15">$B82*(1/13)</f>
        <v>3.6413290851160678E-3</v>
      </c>
      <c r="C17" s="5">
        <f t="shared" si="15"/>
        <v>3.6413290851160678E-3</v>
      </c>
      <c r="D17" s="5">
        <f t="shared" si="15"/>
        <v>3.6413290851160678E-3</v>
      </c>
      <c r="E17" s="5">
        <f t="shared" si="15"/>
        <v>3.6413290851160678E-3</v>
      </c>
      <c r="F17" s="5">
        <f t="shared" si="15"/>
        <v>3.6413290851160678E-3</v>
      </c>
      <c r="G17" s="5">
        <f t="shared" si="15"/>
        <v>3.6413290851160678E-3</v>
      </c>
      <c r="H17" s="5">
        <f t="shared" si="15"/>
        <v>3.6413290851160678E-3</v>
      </c>
      <c r="I17" s="5">
        <f t="shared" si="15"/>
        <v>3.6413290851160678E-3</v>
      </c>
      <c r="J17" s="5">
        <f t="shared" si="1"/>
        <v>1.344490739119779E-2</v>
      </c>
      <c r="K17" s="5">
        <f t="shared" si="2"/>
        <v>2.5209201358495853E-3</v>
      </c>
      <c r="L17" s="5"/>
      <c r="M17" s="5"/>
      <c r="N17" s="5"/>
    </row>
    <row r="18" spans="1:14" ht="15.75" customHeight="1" x14ac:dyDescent="0.25">
      <c r="A18" s="5">
        <v>19</v>
      </c>
      <c r="B18" s="5">
        <f t="shared" ref="B18:I18" si="16">$B83*(1/13)</f>
        <v>3.6413290851160678E-3</v>
      </c>
      <c r="C18" s="5">
        <f t="shared" si="16"/>
        <v>3.6413290851160678E-3</v>
      </c>
      <c r="D18" s="5">
        <f t="shared" si="16"/>
        <v>3.6413290851160678E-3</v>
      </c>
      <c r="E18" s="5">
        <f t="shared" si="16"/>
        <v>3.6413290851160678E-3</v>
      </c>
      <c r="F18" s="5">
        <f t="shared" si="16"/>
        <v>3.6413290851160678E-3</v>
      </c>
      <c r="G18" s="5">
        <f t="shared" si="16"/>
        <v>3.6413290851160678E-3</v>
      </c>
      <c r="H18" s="5">
        <f t="shared" si="16"/>
        <v>3.6413290851160678E-3</v>
      </c>
      <c r="I18" s="5">
        <f t="shared" si="16"/>
        <v>3.6413290851160678E-3</v>
      </c>
      <c r="J18" s="5">
        <f t="shared" si="1"/>
        <v>1.344490739119779E-2</v>
      </c>
      <c r="K18" s="5">
        <f t="shared" si="2"/>
        <v>2.5209201358495853E-3</v>
      </c>
      <c r="L18" s="5"/>
      <c r="M18" s="5" t="s">
        <v>17</v>
      </c>
      <c r="N18" s="5">
        <f>SUM(B4:K18)</f>
        <v>0.67644690311963762</v>
      </c>
    </row>
    <row r="19" spans="1:14" ht="15.75" customHeight="1" x14ac:dyDescent="0.25">
      <c r="A19" s="5" t="s">
        <v>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5.75" customHeight="1" x14ac:dyDescent="0.25">
      <c r="A20" s="5">
        <v>13</v>
      </c>
      <c r="B20" s="5">
        <f t="shared" ref="B20:I20" si="17">2*(1/13)^3</f>
        <v>9.1033227127901696E-4</v>
      </c>
      <c r="C20" s="5">
        <f t="shared" si="17"/>
        <v>9.1033227127901696E-4</v>
      </c>
      <c r="D20" s="5">
        <f t="shared" si="17"/>
        <v>9.1033227127901696E-4</v>
      </c>
      <c r="E20" s="5">
        <f t="shared" si="17"/>
        <v>9.1033227127901696E-4</v>
      </c>
      <c r="F20" s="5">
        <f t="shared" si="17"/>
        <v>9.1033227127901696E-4</v>
      </c>
      <c r="G20" s="5">
        <f t="shared" si="17"/>
        <v>9.1033227127901696E-4</v>
      </c>
      <c r="H20" s="5">
        <f t="shared" si="17"/>
        <v>9.1033227127901696E-4</v>
      </c>
      <c r="I20" s="5">
        <f t="shared" si="17"/>
        <v>9.1033227127901696E-4</v>
      </c>
      <c r="J20" s="5">
        <f t="shared" ref="J20:J27" si="18">2*(1/13)^2*(4/13)*(12/13)</f>
        <v>3.3612268477994475E-3</v>
      </c>
      <c r="K20" s="5">
        <f t="shared" ref="K20:K27" si="19">2*(1/13)^3*(9/13)</f>
        <v>6.3023003396239633E-4</v>
      </c>
      <c r="L20" s="5"/>
      <c r="M20" s="5"/>
      <c r="N20" s="5"/>
    </row>
    <row r="21" spans="1:14" ht="15.75" customHeight="1" x14ac:dyDescent="0.25">
      <c r="A21" s="5">
        <v>14</v>
      </c>
      <c r="B21" s="5">
        <f t="shared" ref="B21:I21" si="20">2*(1/13)^3</f>
        <v>9.1033227127901696E-4</v>
      </c>
      <c r="C21" s="5">
        <f t="shared" si="20"/>
        <v>9.1033227127901696E-4</v>
      </c>
      <c r="D21" s="5">
        <f t="shared" si="20"/>
        <v>9.1033227127901696E-4</v>
      </c>
      <c r="E21" s="5">
        <f t="shared" si="20"/>
        <v>9.1033227127901696E-4</v>
      </c>
      <c r="F21" s="5">
        <f t="shared" si="20"/>
        <v>9.1033227127901696E-4</v>
      </c>
      <c r="G21" s="5">
        <f t="shared" si="20"/>
        <v>9.1033227127901696E-4</v>
      </c>
      <c r="H21" s="5">
        <f t="shared" si="20"/>
        <v>9.1033227127901696E-4</v>
      </c>
      <c r="I21" s="5">
        <f t="shared" si="20"/>
        <v>9.1033227127901696E-4</v>
      </c>
      <c r="J21" s="5">
        <f t="shared" si="18"/>
        <v>3.3612268477994475E-3</v>
      </c>
      <c r="K21" s="5">
        <f t="shared" si="19"/>
        <v>6.3023003396239633E-4</v>
      </c>
      <c r="L21" s="5"/>
      <c r="M21" s="5"/>
      <c r="N21" s="5"/>
    </row>
    <row r="22" spans="1:14" ht="15.75" customHeight="1" x14ac:dyDescent="0.25">
      <c r="A22" s="5">
        <v>15</v>
      </c>
      <c r="B22" s="5">
        <f t="shared" ref="B22:I22" si="21">2*(1/13)^3</f>
        <v>9.1033227127901696E-4</v>
      </c>
      <c r="C22" s="5">
        <f t="shared" si="21"/>
        <v>9.1033227127901696E-4</v>
      </c>
      <c r="D22" s="5">
        <f t="shared" si="21"/>
        <v>9.1033227127901696E-4</v>
      </c>
      <c r="E22" s="5">
        <f t="shared" si="21"/>
        <v>9.1033227127901696E-4</v>
      </c>
      <c r="F22" s="5">
        <f t="shared" si="21"/>
        <v>9.1033227127901696E-4</v>
      </c>
      <c r="G22" s="5">
        <f t="shared" si="21"/>
        <v>9.1033227127901696E-4</v>
      </c>
      <c r="H22" s="5">
        <f t="shared" si="21"/>
        <v>9.1033227127901696E-4</v>
      </c>
      <c r="I22" s="5">
        <f t="shared" si="21"/>
        <v>9.1033227127901696E-4</v>
      </c>
      <c r="J22" s="5">
        <f t="shared" si="18"/>
        <v>3.3612268477994475E-3</v>
      </c>
      <c r="K22" s="5">
        <f t="shared" si="19"/>
        <v>6.3023003396239633E-4</v>
      </c>
      <c r="L22" s="5"/>
      <c r="M22" s="5"/>
      <c r="N22" s="5"/>
    </row>
    <row r="23" spans="1:14" ht="12.5" x14ac:dyDescent="0.25">
      <c r="A23" s="5">
        <v>16</v>
      </c>
      <c r="B23" s="5">
        <f t="shared" ref="B23:I23" si="22">2*(1/13)^3</f>
        <v>9.1033227127901696E-4</v>
      </c>
      <c r="C23" s="5">
        <f t="shared" si="22"/>
        <v>9.1033227127901696E-4</v>
      </c>
      <c r="D23" s="5">
        <f t="shared" si="22"/>
        <v>9.1033227127901696E-4</v>
      </c>
      <c r="E23" s="5">
        <f t="shared" si="22"/>
        <v>9.1033227127901696E-4</v>
      </c>
      <c r="F23" s="5">
        <f t="shared" si="22"/>
        <v>9.1033227127901696E-4</v>
      </c>
      <c r="G23" s="5">
        <f t="shared" si="22"/>
        <v>9.1033227127901696E-4</v>
      </c>
      <c r="H23" s="5">
        <f t="shared" si="22"/>
        <v>9.1033227127901696E-4</v>
      </c>
      <c r="I23" s="5">
        <f t="shared" si="22"/>
        <v>9.1033227127901696E-4</v>
      </c>
      <c r="J23" s="5">
        <f t="shared" si="18"/>
        <v>3.3612268477994475E-3</v>
      </c>
      <c r="K23" s="5">
        <f t="shared" si="19"/>
        <v>6.3023003396239633E-4</v>
      </c>
      <c r="L23" s="5"/>
      <c r="M23" s="5"/>
      <c r="N23" s="5"/>
    </row>
    <row r="24" spans="1:14" ht="12.5" x14ac:dyDescent="0.25">
      <c r="A24" s="5">
        <v>17</v>
      </c>
      <c r="B24" s="5">
        <f t="shared" ref="B24:I24" si="23">2*(1/13)^3</f>
        <v>9.1033227127901696E-4</v>
      </c>
      <c r="C24" s="5">
        <f t="shared" si="23"/>
        <v>9.1033227127901696E-4</v>
      </c>
      <c r="D24" s="5">
        <f t="shared" si="23"/>
        <v>9.1033227127901696E-4</v>
      </c>
      <c r="E24" s="5">
        <f t="shared" si="23"/>
        <v>9.1033227127901696E-4</v>
      </c>
      <c r="F24" s="5">
        <f t="shared" si="23"/>
        <v>9.1033227127901696E-4</v>
      </c>
      <c r="G24" s="5">
        <f t="shared" si="23"/>
        <v>9.1033227127901696E-4</v>
      </c>
      <c r="H24" s="5">
        <f t="shared" si="23"/>
        <v>9.1033227127901696E-4</v>
      </c>
      <c r="I24" s="5">
        <f t="shared" si="23"/>
        <v>9.1033227127901696E-4</v>
      </c>
      <c r="J24" s="5">
        <f t="shared" si="18"/>
        <v>3.3612268477994475E-3</v>
      </c>
      <c r="K24" s="5">
        <f t="shared" si="19"/>
        <v>6.3023003396239633E-4</v>
      </c>
      <c r="L24" s="5"/>
      <c r="M24" s="5"/>
      <c r="N24" s="5"/>
    </row>
    <row r="25" spans="1:14" ht="12.5" x14ac:dyDescent="0.25">
      <c r="A25" s="5">
        <v>18</v>
      </c>
      <c r="B25" s="5">
        <f t="shared" ref="B25:I25" si="24">2*(1/13)^3</f>
        <v>9.1033227127901696E-4</v>
      </c>
      <c r="C25" s="5">
        <f t="shared" si="24"/>
        <v>9.1033227127901696E-4</v>
      </c>
      <c r="D25" s="5">
        <f t="shared" si="24"/>
        <v>9.1033227127901696E-4</v>
      </c>
      <c r="E25" s="5">
        <f t="shared" si="24"/>
        <v>9.1033227127901696E-4</v>
      </c>
      <c r="F25" s="5">
        <f t="shared" si="24"/>
        <v>9.1033227127901696E-4</v>
      </c>
      <c r="G25" s="5">
        <f t="shared" si="24"/>
        <v>9.1033227127901696E-4</v>
      </c>
      <c r="H25" s="5">
        <f t="shared" si="24"/>
        <v>9.1033227127901696E-4</v>
      </c>
      <c r="I25" s="5">
        <f t="shared" si="24"/>
        <v>9.1033227127901696E-4</v>
      </c>
      <c r="J25" s="5">
        <f t="shared" si="18"/>
        <v>3.3612268477994475E-3</v>
      </c>
      <c r="K25" s="5">
        <f t="shared" si="19"/>
        <v>6.3023003396239633E-4</v>
      </c>
      <c r="L25" s="5"/>
      <c r="M25" s="5"/>
      <c r="N25" s="5"/>
    </row>
    <row r="26" spans="1:14" ht="12.5" x14ac:dyDescent="0.25">
      <c r="A26" s="5">
        <v>19</v>
      </c>
      <c r="B26" s="5">
        <f t="shared" ref="B26:I26" si="25">2*(1/13)^3</f>
        <v>9.1033227127901696E-4</v>
      </c>
      <c r="C26" s="5">
        <f t="shared" si="25"/>
        <v>9.1033227127901696E-4</v>
      </c>
      <c r="D26" s="5">
        <f t="shared" si="25"/>
        <v>9.1033227127901696E-4</v>
      </c>
      <c r="E26" s="5">
        <f t="shared" si="25"/>
        <v>9.1033227127901696E-4</v>
      </c>
      <c r="F26" s="5">
        <f t="shared" si="25"/>
        <v>9.1033227127901696E-4</v>
      </c>
      <c r="G26" s="5">
        <f t="shared" si="25"/>
        <v>9.1033227127901696E-4</v>
      </c>
      <c r="H26" s="5">
        <f t="shared" si="25"/>
        <v>9.1033227127901696E-4</v>
      </c>
      <c r="I26" s="5">
        <f t="shared" si="25"/>
        <v>9.1033227127901696E-4</v>
      </c>
      <c r="J26" s="5">
        <f t="shared" si="18"/>
        <v>3.3612268477994475E-3</v>
      </c>
      <c r="K26" s="5">
        <f t="shared" si="19"/>
        <v>6.3023003396239633E-4</v>
      </c>
      <c r="L26" s="5"/>
      <c r="M26" s="5"/>
      <c r="N26" s="5"/>
    </row>
    <row r="27" spans="1:14" ht="12.5" x14ac:dyDescent="0.25">
      <c r="A27" s="5">
        <v>20</v>
      </c>
      <c r="B27" s="5">
        <f t="shared" ref="B27:I27" si="26">2*(1/13)^3</f>
        <v>9.1033227127901696E-4</v>
      </c>
      <c r="C27" s="5">
        <f t="shared" si="26"/>
        <v>9.1033227127901696E-4</v>
      </c>
      <c r="D27" s="5">
        <f t="shared" si="26"/>
        <v>9.1033227127901696E-4</v>
      </c>
      <c r="E27" s="5">
        <f t="shared" si="26"/>
        <v>9.1033227127901696E-4</v>
      </c>
      <c r="F27" s="5">
        <f t="shared" si="26"/>
        <v>9.1033227127901696E-4</v>
      </c>
      <c r="G27" s="5">
        <f t="shared" si="26"/>
        <v>9.1033227127901696E-4</v>
      </c>
      <c r="H27" s="5">
        <f t="shared" si="26"/>
        <v>9.1033227127901696E-4</v>
      </c>
      <c r="I27" s="5">
        <f t="shared" si="26"/>
        <v>9.1033227127901696E-4</v>
      </c>
      <c r="J27" s="5">
        <f t="shared" si="18"/>
        <v>3.3612268477994475E-3</v>
      </c>
      <c r="K27" s="5">
        <f t="shared" si="19"/>
        <v>6.3023003396239633E-4</v>
      </c>
      <c r="L27" s="5"/>
      <c r="M27" s="5"/>
      <c r="N27" s="5"/>
    </row>
    <row r="28" spans="1:14" ht="12.5" x14ac:dyDescent="0.25">
      <c r="A28" s="5">
        <v>21</v>
      </c>
      <c r="B28" s="5">
        <f t="shared" ref="B28:I28" si="27">2*(1/13)^2*(4/13)</f>
        <v>3.6413290851160678E-3</v>
      </c>
      <c r="C28" s="5">
        <f t="shared" si="27"/>
        <v>3.6413290851160678E-3</v>
      </c>
      <c r="D28" s="5">
        <f t="shared" si="27"/>
        <v>3.6413290851160678E-3</v>
      </c>
      <c r="E28" s="5">
        <f t="shared" si="27"/>
        <v>3.6413290851160678E-3</v>
      </c>
      <c r="F28" s="5">
        <f t="shared" si="27"/>
        <v>3.6413290851160678E-3</v>
      </c>
      <c r="G28" s="5">
        <f t="shared" si="27"/>
        <v>3.6413290851160678E-3</v>
      </c>
      <c r="H28" s="5">
        <f t="shared" si="27"/>
        <v>3.6413290851160678E-3</v>
      </c>
      <c r="I28" s="5">
        <f t="shared" si="27"/>
        <v>3.6413290851160678E-3</v>
      </c>
      <c r="J28" s="5">
        <f>2*(1/13)*(4/13)*(4/13)*(12/13)</f>
        <v>1.344490739119779E-2</v>
      </c>
      <c r="K28" s="5">
        <f>2*(1/13)*(4/13)*(1/13)*(9/13)</f>
        <v>2.5209201358495853E-3</v>
      </c>
      <c r="L28" s="5"/>
      <c r="M28" s="5" t="s">
        <v>18</v>
      </c>
      <c r="N28" s="5">
        <f>SUM(B20:K28)</f>
        <v>0.13528938062392776</v>
      </c>
    </row>
    <row r="29" spans="1:14" ht="12.5" x14ac:dyDescent="0.25">
      <c r="A29" s="5" t="s">
        <v>19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 ht="12.5" x14ac:dyDescent="0.25">
      <c r="A30" s="5">
        <v>2</v>
      </c>
      <c r="B30" s="5">
        <f t="shared" ref="B30:I30" si="28">(1/13)^3</f>
        <v>4.5516613563950848E-4</v>
      </c>
      <c r="C30" s="5">
        <f t="shared" si="28"/>
        <v>4.5516613563950848E-4</v>
      </c>
      <c r="D30" s="5">
        <f t="shared" si="28"/>
        <v>4.5516613563950848E-4</v>
      </c>
      <c r="E30" s="5">
        <f t="shared" si="28"/>
        <v>4.5516613563950848E-4</v>
      </c>
      <c r="F30" s="5">
        <f t="shared" si="28"/>
        <v>4.5516613563950848E-4</v>
      </c>
      <c r="G30" s="5">
        <f t="shared" si="28"/>
        <v>4.5516613563950848E-4</v>
      </c>
      <c r="H30" s="5">
        <f t="shared" si="28"/>
        <v>4.5516613563950848E-4</v>
      </c>
      <c r="I30" s="5">
        <f t="shared" si="28"/>
        <v>4.5516613563950848E-4</v>
      </c>
      <c r="J30" s="5">
        <f t="shared" ref="J30:J37" si="29">(1/13)^2*(4/13)*(12/13)</f>
        <v>1.6806134238997238E-3</v>
      </c>
      <c r="K30" s="5">
        <f t="shared" ref="K30:K37" si="30">(1/13)^3*(9/13)</f>
        <v>3.1511501698119817E-4</v>
      </c>
      <c r="L30" s="5"/>
      <c r="M30" s="5"/>
      <c r="N30" s="5"/>
    </row>
    <row r="31" spans="1:14" ht="12.5" x14ac:dyDescent="0.25">
      <c r="A31" s="5">
        <v>3</v>
      </c>
      <c r="B31" s="5">
        <f t="shared" ref="B31:I31" si="31">(1/13)^3</f>
        <v>4.5516613563950848E-4</v>
      </c>
      <c r="C31" s="5">
        <f t="shared" si="31"/>
        <v>4.5516613563950848E-4</v>
      </c>
      <c r="D31" s="5">
        <f t="shared" si="31"/>
        <v>4.5516613563950848E-4</v>
      </c>
      <c r="E31" s="5">
        <f t="shared" si="31"/>
        <v>4.5516613563950848E-4</v>
      </c>
      <c r="F31" s="5">
        <f t="shared" si="31"/>
        <v>4.5516613563950848E-4</v>
      </c>
      <c r="G31" s="5">
        <f t="shared" si="31"/>
        <v>4.5516613563950848E-4</v>
      </c>
      <c r="H31" s="5">
        <f t="shared" si="31"/>
        <v>4.5516613563950848E-4</v>
      </c>
      <c r="I31" s="5">
        <f t="shared" si="31"/>
        <v>4.5516613563950848E-4</v>
      </c>
      <c r="J31" s="5">
        <f t="shared" si="29"/>
        <v>1.6806134238997238E-3</v>
      </c>
      <c r="K31" s="5">
        <f t="shared" si="30"/>
        <v>3.1511501698119817E-4</v>
      </c>
      <c r="L31" s="5"/>
      <c r="M31" s="5"/>
      <c r="N31" s="5"/>
    </row>
    <row r="32" spans="1:14" ht="12.5" x14ac:dyDescent="0.25">
      <c r="A32" s="5">
        <v>4</v>
      </c>
      <c r="B32" s="5">
        <f t="shared" ref="B32:I32" si="32">(1/13)^3</f>
        <v>4.5516613563950848E-4</v>
      </c>
      <c r="C32" s="5">
        <f t="shared" si="32"/>
        <v>4.5516613563950848E-4</v>
      </c>
      <c r="D32" s="5">
        <f t="shared" si="32"/>
        <v>4.5516613563950848E-4</v>
      </c>
      <c r="E32" s="5">
        <f t="shared" si="32"/>
        <v>4.5516613563950848E-4</v>
      </c>
      <c r="F32" s="5">
        <f t="shared" si="32"/>
        <v>4.5516613563950848E-4</v>
      </c>
      <c r="G32" s="5">
        <f t="shared" si="32"/>
        <v>4.5516613563950848E-4</v>
      </c>
      <c r="H32" s="5">
        <f t="shared" si="32"/>
        <v>4.5516613563950848E-4</v>
      </c>
      <c r="I32" s="5">
        <f t="shared" si="32"/>
        <v>4.5516613563950848E-4</v>
      </c>
      <c r="J32" s="5">
        <f t="shared" si="29"/>
        <v>1.6806134238997238E-3</v>
      </c>
      <c r="K32" s="5">
        <f t="shared" si="30"/>
        <v>3.1511501698119817E-4</v>
      </c>
      <c r="L32" s="5"/>
      <c r="M32" s="5"/>
      <c r="N32" s="5"/>
    </row>
    <row r="33" spans="1:14" ht="12.5" x14ac:dyDescent="0.25">
      <c r="A33" s="5">
        <v>5</v>
      </c>
      <c r="B33" s="5">
        <f t="shared" ref="B33:I33" si="33">(1/13)^3</f>
        <v>4.5516613563950848E-4</v>
      </c>
      <c r="C33" s="5">
        <f t="shared" si="33"/>
        <v>4.5516613563950848E-4</v>
      </c>
      <c r="D33" s="5">
        <f t="shared" si="33"/>
        <v>4.5516613563950848E-4</v>
      </c>
      <c r="E33" s="5">
        <f t="shared" si="33"/>
        <v>4.5516613563950848E-4</v>
      </c>
      <c r="F33" s="5">
        <f t="shared" si="33"/>
        <v>4.5516613563950848E-4</v>
      </c>
      <c r="G33" s="5">
        <f t="shared" si="33"/>
        <v>4.5516613563950848E-4</v>
      </c>
      <c r="H33" s="5">
        <f t="shared" si="33"/>
        <v>4.5516613563950848E-4</v>
      </c>
      <c r="I33" s="5">
        <f t="shared" si="33"/>
        <v>4.5516613563950848E-4</v>
      </c>
      <c r="J33" s="5">
        <f t="shared" si="29"/>
        <v>1.6806134238997238E-3</v>
      </c>
      <c r="K33" s="5">
        <f t="shared" si="30"/>
        <v>3.1511501698119817E-4</v>
      </c>
      <c r="L33" s="5"/>
      <c r="M33" s="5"/>
      <c r="N33" s="5"/>
    </row>
    <row r="34" spans="1:14" ht="12.5" x14ac:dyDescent="0.25">
      <c r="A34" s="5">
        <v>6</v>
      </c>
      <c r="B34" s="5">
        <f t="shared" ref="B34:I34" si="34">(1/13)^3</f>
        <v>4.5516613563950848E-4</v>
      </c>
      <c r="C34" s="5">
        <f t="shared" si="34"/>
        <v>4.5516613563950848E-4</v>
      </c>
      <c r="D34" s="5">
        <f t="shared" si="34"/>
        <v>4.5516613563950848E-4</v>
      </c>
      <c r="E34" s="5">
        <f t="shared" si="34"/>
        <v>4.5516613563950848E-4</v>
      </c>
      <c r="F34" s="5">
        <f t="shared" si="34"/>
        <v>4.5516613563950848E-4</v>
      </c>
      <c r="G34" s="5">
        <f t="shared" si="34"/>
        <v>4.5516613563950848E-4</v>
      </c>
      <c r="H34" s="5">
        <f t="shared" si="34"/>
        <v>4.5516613563950848E-4</v>
      </c>
      <c r="I34" s="5">
        <f t="shared" si="34"/>
        <v>4.5516613563950848E-4</v>
      </c>
      <c r="J34" s="5">
        <f t="shared" si="29"/>
        <v>1.6806134238997238E-3</v>
      </c>
      <c r="K34" s="5">
        <f t="shared" si="30"/>
        <v>3.1511501698119817E-4</v>
      </c>
      <c r="L34" s="5"/>
      <c r="M34" s="5"/>
      <c r="N34" s="5"/>
    </row>
    <row r="35" spans="1:14" ht="12.5" x14ac:dyDescent="0.25">
      <c r="A35" s="5">
        <v>7</v>
      </c>
      <c r="B35" s="5">
        <f t="shared" ref="B35:I35" si="35">(1/13)^3</f>
        <v>4.5516613563950848E-4</v>
      </c>
      <c r="C35" s="5">
        <f t="shared" si="35"/>
        <v>4.5516613563950848E-4</v>
      </c>
      <c r="D35" s="5">
        <f t="shared" si="35"/>
        <v>4.5516613563950848E-4</v>
      </c>
      <c r="E35" s="5">
        <f t="shared" si="35"/>
        <v>4.5516613563950848E-4</v>
      </c>
      <c r="F35" s="5">
        <f t="shared" si="35"/>
        <v>4.5516613563950848E-4</v>
      </c>
      <c r="G35" s="5">
        <f t="shared" si="35"/>
        <v>4.5516613563950848E-4</v>
      </c>
      <c r="H35" s="5">
        <f t="shared" si="35"/>
        <v>4.5516613563950848E-4</v>
      </c>
      <c r="I35" s="5">
        <f t="shared" si="35"/>
        <v>4.5516613563950848E-4</v>
      </c>
      <c r="J35" s="5">
        <f t="shared" si="29"/>
        <v>1.6806134238997238E-3</v>
      </c>
      <c r="K35" s="5">
        <f t="shared" si="30"/>
        <v>3.1511501698119817E-4</v>
      </c>
      <c r="L35" s="5"/>
      <c r="M35" s="5"/>
      <c r="N35" s="5"/>
    </row>
    <row r="36" spans="1:14" ht="12.5" x14ac:dyDescent="0.25">
      <c r="A36" s="5">
        <v>8</v>
      </c>
      <c r="B36" s="5">
        <f t="shared" ref="B36:I36" si="36">(1/13)^3</f>
        <v>4.5516613563950848E-4</v>
      </c>
      <c r="C36" s="5">
        <f t="shared" si="36"/>
        <v>4.5516613563950848E-4</v>
      </c>
      <c r="D36" s="5">
        <f t="shared" si="36"/>
        <v>4.5516613563950848E-4</v>
      </c>
      <c r="E36" s="5">
        <f t="shared" si="36"/>
        <v>4.5516613563950848E-4</v>
      </c>
      <c r="F36" s="5">
        <f t="shared" si="36"/>
        <v>4.5516613563950848E-4</v>
      </c>
      <c r="G36" s="5">
        <f t="shared" si="36"/>
        <v>4.5516613563950848E-4</v>
      </c>
      <c r="H36" s="5">
        <f t="shared" si="36"/>
        <v>4.5516613563950848E-4</v>
      </c>
      <c r="I36" s="5">
        <f t="shared" si="36"/>
        <v>4.5516613563950848E-4</v>
      </c>
      <c r="J36" s="5">
        <f t="shared" si="29"/>
        <v>1.6806134238997238E-3</v>
      </c>
      <c r="K36" s="5">
        <f t="shared" si="30"/>
        <v>3.1511501698119817E-4</v>
      </c>
      <c r="L36" s="5"/>
      <c r="M36" s="5"/>
      <c r="N36" s="5"/>
    </row>
    <row r="37" spans="1:14" ht="12.5" x14ac:dyDescent="0.25">
      <c r="A37" s="5">
        <v>9</v>
      </c>
      <c r="B37" s="5">
        <f t="shared" ref="B37:I37" si="37">(1/13)^3</f>
        <v>4.5516613563950848E-4</v>
      </c>
      <c r="C37" s="5">
        <f t="shared" si="37"/>
        <v>4.5516613563950848E-4</v>
      </c>
      <c r="D37" s="5">
        <f t="shared" si="37"/>
        <v>4.5516613563950848E-4</v>
      </c>
      <c r="E37" s="5">
        <f t="shared" si="37"/>
        <v>4.5516613563950848E-4</v>
      </c>
      <c r="F37" s="5">
        <f t="shared" si="37"/>
        <v>4.5516613563950848E-4</v>
      </c>
      <c r="G37" s="5">
        <f t="shared" si="37"/>
        <v>4.5516613563950848E-4</v>
      </c>
      <c r="H37" s="5">
        <f t="shared" si="37"/>
        <v>4.5516613563950848E-4</v>
      </c>
      <c r="I37" s="5">
        <f t="shared" si="37"/>
        <v>4.5516613563950848E-4</v>
      </c>
      <c r="J37" s="5">
        <f t="shared" si="29"/>
        <v>1.6806134238997238E-3</v>
      </c>
      <c r="K37" s="5">
        <f t="shared" si="30"/>
        <v>3.1511501698119817E-4</v>
      </c>
      <c r="L37" s="5"/>
      <c r="M37" s="5"/>
      <c r="N37" s="5"/>
    </row>
    <row r="38" spans="1:14" ht="12.5" x14ac:dyDescent="0.25">
      <c r="A38" s="5">
        <v>10</v>
      </c>
      <c r="B38" s="5">
        <f t="shared" ref="B38:I38" si="38">(4/13)^2*(1/13)</f>
        <v>7.2826581702321357E-3</v>
      </c>
      <c r="C38" s="5">
        <f t="shared" si="38"/>
        <v>7.2826581702321357E-3</v>
      </c>
      <c r="D38" s="5">
        <f t="shared" si="38"/>
        <v>7.2826581702321357E-3</v>
      </c>
      <c r="E38" s="5">
        <f t="shared" si="38"/>
        <v>7.2826581702321357E-3</v>
      </c>
      <c r="F38" s="5">
        <f t="shared" si="38"/>
        <v>7.2826581702321357E-3</v>
      </c>
      <c r="G38" s="5">
        <f t="shared" si="38"/>
        <v>7.2826581702321357E-3</v>
      </c>
      <c r="H38" s="5">
        <f t="shared" si="38"/>
        <v>7.2826581702321357E-3</v>
      </c>
      <c r="I38" s="5">
        <f t="shared" si="38"/>
        <v>7.2826581702321357E-3</v>
      </c>
      <c r="J38" s="5">
        <f>(4/13)^3*(12/13)</f>
        <v>2.688981478239558E-2</v>
      </c>
      <c r="K38" s="5">
        <f>(4/13)^2*(1/13)*(9/13)</f>
        <v>5.0418402716991707E-3</v>
      </c>
      <c r="L38" s="5"/>
      <c r="M38" s="5"/>
      <c r="N38" s="5"/>
    </row>
    <row r="39" spans="1:14" ht="12.5" x14ac:dyDescent="0.25">
      <c r="A39" s="5" t="s">
        <v>2</v>
      </c>
      <c r="B39" s="5">
        <f t="shared" ref="B39:I39" si="39">(1/13)^3</f>
        <v>4.5516613563950848E-4</v>
      </c>
      <c r="C39" s="5">
        <f t="shared" si="39"/>
        <v>4.5516613563950848E-4</v>
      </c>
      <c r="D39" s="5">
        <f t="shared" si="39"/>
        <v>4.5516613563950848E-4</v>
      </c>
      <c r="E39" s="5">
        <f t="shared" si="39"/>
        <v>4.5516613563950848E-4</v>
      </c>
      <c r="F39" s="5">
        <f t="shared" si="39"/>
        <v>4.5516613563950848E-4</v>
      </c>
      <c r="G39" s="5">
        <f t="shared" si="39"/>
        <v>4.5516613563950848E-4</v>
      </c>
      <c r="H39" s="5">
        <f t="shared" si="39"/>
        <v>4.5516613563950848E-4</v>
      </c>
      <c r="I39" s="5">
        <f t="shared" si="39"/>
        <v>4.5516613563950848E-4</v>
      </c>
      <c r="J39" s="5">
        <f>(1/13)^2*(4/13)*(12/13)</f>
        <v>1.6806134238997238E-3</v>
      </c>
      <c r="K39" s="5">
        <f>(1/13)^3*(9/13)</f>
        <v>3.1511501698119817E-4</v>
      </c>
      <c r="L39" s="5"/>
      <c r="M39" s="5" t="s">
        <v>20</v>
      </c>
      <c r="N39" s="5">
        <f>SUM(B30:K39)</f>
        <v>0.14092643814992473</v>
      </c>
    </row>
    <row r="40" spans="1:14" ht="12.5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 t="s">
        <v>21</v>
      </c>
      <c r="N40" s="5">
        <f>2*(4/13)*(1/13)</f>
        <v>4.7337278106508882E-2</v>
      </c>
    </row>
    <row r="41" spans="1:14" ht="12.5" x14ac:dyDescent="0.25">
      <c r="A41" s="5"/>
      <c r="B41" s="5" t="s">
        <v>22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 t="s">
        <v>23</v>
      </c>
      <c r="N41" s="5">
        <f>N18+N28+N39+N40</f>
        <v>0.99999999999999889</v>
      </c>
    </row>
    <row r="42" spans="1:14" ht="12.5" x14ac:dyDescent="0.25">
      <c r="A42" s="5" t="s">
        <v>24</v>
      </c>
      <c r="B42" s="5">
        <v>2</v>
      </c>
      <c r="C42" s="5">
        <v>3</v>
      </c>
      <c r="D42" s="5">
        <v>4</v>
      </c>
      <c r="E42" s="5">
        <v>5</v>
      </c>
      <c r="F42" s="5">
        <v>6</v>
      </c>
      <c r="G42" s="5">
        <v>7</v>
      </c>
      <c r="H42" s="5">
        <v>8</v>
      </c>
      <c r="I42" s="5">
        <v>9</v>
      </c>
      <c r="J42" s="5">
        <v>10</v>
      </c>
      <c r="K42" s="5" t="s">
        <v>2</v>
      </c>
      <c r="L42" s="5"/>
      <c r="M42" s="5"/>
      <c r="N42" s="5"/>
    </row>
    <row r="43" spans="1:14" ht="12.5" x14ac:dyDescent="0.25">
      <c r="A43" s="5">
        <v>2</v>
      </c>
      <c r="B43" s="5"/>
      <c r="C43" s="5">
        <f t="shared" ref="C43:J43" si="40">$A43+C$42</f>
        <v>5</v>
      </c>
      <c r="D43" s="5">
        <f t="shared" si="40"/>
        <v>6</v>
      </c>
      <c r="E43" s="5">
        <f t="shared" si="40"/>
        <v>7</v>
      </c>
      <c r="F43" s="5">
        <f t="shared" si="40"/>
        <v>8</v>
      </c>
      <c r="G43" s="5">
        <f t="shared" si="40"/>
        <v>9</v>
      </c>
      <c r="H43" s="5">
        <f t="shared" si="40"/>
        <v>10</v>
      </c>
      <c r="I43" s="5">
        <f t="shared" si="40"/>
        <v>11</v>
      </c>
      <c r="J43" s="5">
        <f t="shared" si="40"/>
        <v>12</v>
      </c>
      <c r="K43" s="5"/>
      <c r="L43" s="5"/>
      <c r="M43" s="5"/>
      <c r="N43" s="5"/>
    </row>
    <row r="44" spans="1:14" ht="12.5" x14ac:dyDescent="0.25">
      <c r="A44" s="5">
        <v>3</v>
      </c>
      <c r="B44" s="5">
        <f t="shared" ref="B44:B51" si="41">$A44+B$42</f>
        <v>5</v>
      </c>
      <c r="C44" s="5"/>
      <c r="D44" s="5">
        <f t="shared" ref="D44:J44" si="42">$A44+D$42</f>
        <v>7</v>
      </c>
      <c r="E44" s="5">
        <f t="shared" si="42"/>
        <v>8</v>
      </c>
      <c r="F44" s="5">
        <f t="shared" si="42"/>
        <v>9</v>
      </c>
      <c r="G44" s="5">
        <f t="shared" si="42"/>
        <v>10</v>
      </c>
      <c r="H44" s="5">
        <f t="shared" si="42"/>
        <v>11</v>
      </c>
      <c r="I44" s="5">
        <f t="shared" si="42"/>
        <v>12</v>
      </c>
      <c r="J44" s="5">
        <f t="shared" si="42"/>
        <v>13</v>
      </c>
      <c r="K44" s="5"/>
      <c r="L44" s="5"/>
      <c r="M44" s="5"/>
      <c r="N44" s="5"/>
    </row>
    <row r="45" spans="1:14" ht="12.5" x14ac:dyDescent="0.25">
      <c r="A45" s="5">
        <v>4</v>
      </c>
      <c r="B45" s="5">
        <f t="shared" si="41"/>
        <v>6</v>
      </c>
      <c r="C45" s="5">
        <f t="shared" ref="C45:C51" si="43">$A45+C$42</f>
        <v>7</v>
      </c>
      <c r="D45" s="5"/>
      <c r="E45" s="5">
        <f t="shared" ref="E45:J45" si="44">$A45+E$42</f>
        <v>9</v>
      </c>
      <c r="F45" s="5">
        <f t="shared" si="44"/>
        <v>10</v>
      </c>
      <c r="G45" s="5">
        <f t="shared" si="44"/>
        <v>11</v>
      </c>
      <c r="H45" s="5">
        <f t="shared" si="44"/>
        <v>12</v>
      </c>
      <c r="I45" s="5">
        <f t="shared" si="44"/>
        <v>13</v>
      </c>
      <c r="J45" s="5">
        <f t="shared" si="44"/>
        <v>14</v>
      </c>
      <c r="K45" s="5"/>
      <c r="L45" s="5"/>
      <c r="M45" s="5"/>
      <c r="N45" s="5"/>
    </row>
    <row r="46" spans="1:14" ht="12.5" x14ac:dyDescent="0.25">
      <c r="A46" s="5">
        <v>5</v>
      </c>
      <c r="B46" s="5">
        <f t="shared" si="41"/>
        <v>7</v>
      </c>
      <c r="C46" s="5">
        <f t="shared" si="43"/>
        <v>8</v>
      </c>
      <c r="D46" s="5">
        <f t="shared" ref="D46:D51" si="45">$A46+D$42</f>
        <v>9</v>
      </c>
      <c r="E46" s="5"/>
      <c r="F46" s="5">
        <f t="shared" ref="F46:J46" si="46">$A46+F$42</f>
        <v>11</v>
      </c>
      <c r="G46" s="5">
        <f t="shared" si="46"/>
        <v>12</v>
      </c>
      <c r="H46" s="5">
        <f t="shared" si="46"/>
        <v>13</v>
      </c>
      <c r="I46" s="5">
        <f t="shared" si="46"/>
        <v>14</v>
      </c>
      <c r="J46" s="5">
        <f t="shared" si="46"/>
        <v>15</v>
      </c>
      <c r="K46" s="5"/>
      <c r="L46" s="5"/>
      <c r="M46" s="5"/>
      <c r="N46" s="5"/>
    </row>
    <row r="47" spans="1:14" ht="12.5" x14ac:dyDescent="0.25">
      <c r="A47" s="5">
        <v>6</v>
      </c>
      <c r="B47" s="5">
        <f t="shared" si="41"/>
        <v>8</v>
      </c>
      <c r="C47" s="5">
        <f t="shared" si="43"/>
        <v>9</v>
      </c>
      <c r="D47" s="5">
        <f t="shared" si="45"/>
        <v>10</v>
      </c>
      <c r="E47" s="5">
        <f t="shared" ref="E47:E51" si="47">$A47+E$42</f>
        <v>11</v>
      </c>
      <c r="F47" s="5"/>
      <c r="G47" s="5">
        <f t="shared" ref="G47:J47" si="48">$A47+G$42</f>
        <v>13</v>
      </c>
      <c r="H47" s="5">
        <f t="shared" si="48"/>
        <v>14</v>
      </c>
      <c r="I47" s="5">
        <f t="shared" si="48"/>
        <v>15</v>
      </c>
      <c r="J47" s="5">
        <f t="shared" si="48"/>
        <v>16</v>
      </c>
      <c r="K47" s="5"/>
      <c r="L47" s="5"/>
      <c r="M47" s="5"/>
      <c r="N47" s="5"/>
    </row>
    <row r="48" spans="1:14" ht="12.5" x14ac:dyDescent="0.25">
      <c r="A48" s="5">
        <v>7</v>
      </c>
      <c r="B48" s="5">
        <f t="shared" si="41"/>
        <v>9</v>
      </c>
      <c r="C48" s="5">
        <f t="shared" si="43"/>
        <v>10</v>
      </c>
      <c r="D48" s="5">
        <f t="shared" si="45"/>
        <v>11</v>
      </c>
      <c r="E48" s="5">
        <f t="shared" si="47"/>
        <v>12</v>
      </c>
      <c r="F48" s="5">
        <f t="shared" ref="F48:F51" si="49">$A48+F$42</f>
        <v>13</v>
      </c>
      <c r="G48" s="5"/>
      <c r="H48" s="5">
        <f t="shared" ref="H48:J48" si="50">$A48+H$42</f>
        <v>15</v>
      </c>
      <c r="I48" s="5">
        <f t="shared" si="50"/>
        <v>16</v>
      </c>
      <c r="J48" s="5">
        <f t="shared" si="50"/>
        <v>17</v>
      </c>
      <c r="K48" s="5"/>
      <c r="L48" s="5"/>
      <c r="M48" s="5"/>
      <c r="N48" s="5"/>
    </row>
    <row r="49" spans="1:14" ht="12.5" x14ac:dyDescent="0.25">
      <c r="A49" s="5">
        <v>8</v>
      </c>
      <c r="B49" s="5">
        <f t="shared" si="41"/>
        <v>10</v>
      </c>
      <c r="C49" s="5">
        <f t="shared" si="43"/>
        <v>11</v>
      </c>
      <c r="D49" s="5">
        <f t="shared" si="45"/>
        <v>12</v>
      </c>
      <c r="E49" s="5">
        <f t="shared" si="47"/>
        <v>13</v>
      </c>
      <c r="F49" s="5">
        <f t="shared" si="49"/>
        <v>14</v>
      </c>
      <c r="G49" s="5">
        <f t="shared" ref="G49:G51" si="51">$A49+G$42</f>
        <v>15</v>
      </c>
      <c r="H49" s="5"/>
      <c r="I49" s="5">
        <f t="shared" ref="I49:J49" si="52">$A49+I$42</f>
        <v>17</v>
      </c>
      <c r="J49" s="5">
        <f t="shared" si="52"/>
        <v>18</v>
      </c>
      <c r="K49" s="5"/>
      <c r="L49" s="5"/>
      <c r="M49" s="5"/>
      <c r="N49" s="5"/>
    </row>
    <row r="50" spans="1:14" ht="12.5" x14ac:dyDescent="0.25">
      <c r="A50" s="5">
        <v>9</v>
      </c>
      <c r="B50" s="5">
        <f t="shared" si="41"/>
        <v>11</v>
      </c>
      <c r="C50" s="5">
        <f t="shared" si="43"/>
        <v>12</v>
      </c>
      <c r="D50" s="5">
        <f t="shared" si="45"/>
        <v>13</v>
      </c>
      <c r="E50" s="5">
        <f t="shared" si="47"/>
        <v>14</v>
      </c>
      <c r="F50" s="5">
        <f t="shared" si="49"/>
        <v>15</v>
      </c>
      <c r="G50" s="5">
        <f t="shared" si="51"/>
        <v>16</v>
      </c>
      <c r="H50" s="5">
        <f t="shared" ref="H50:H51" si="53">$A50+H$42</f>
        <v>17</v>
      </c>
      <c r="I50" s="5"/>
      <c r="J50" s="5">
        <f>$A50+J$42</f>
        <v>19</v>
      </c>
      <c r="K50" s="5"/>
      <c r="L50" s="5"/>
      <c r="M50" s="5"/>
      <c r="N50" s="5"/>
    </row>
    <row r="51" spans="1:14" ht="12.5" x14ac:dyDescent="0.25">
      <c r="A51" s="5">
        <v>10</v>
      </c>
      <c r="B51" s="5">
        <f t="shared" si="41"/>
        <v>12</v>
      </c>
      <c r="C51" s="5">
        <f t="shared" si="43"/>
        <v>13</v>
      </c>
      <c r="D51" s="5">
        <f t="shared" si="45"/>
        <v>14</v>
      </c>
      <c r="E51" s="5">
        <f t="shared" si="47"/>
        <v>15</v>
      </c>
      <c r="F51" s="5">
        <f t="shared" si="49"/>
        <v>16</v>
      </c>
      <c r="G51" s="5">
        <f t="shared" si="51"/>
        <v>17</v>
      </c>
      <c r="H51" s="5">
        <f t="shared" si="53"/>
        <v>18</v>
      </c>
      <c r="I51" s="5">
        <f>$A51+I$42</f>
        <v>19</v>
      </c>
      <c r="J51" s="5"/>
      <c r="K51" s="5"/>
      <c r="L51" s="5"/>
      <c r="M51" s="5"/>
      <c r="N51" s="5"/>
    </row>
    <row r="52" spans="1:14" ht="12.5" x14ac:dyDescent="0.25">
      <c r="A52" s="5" t="s">
        <v>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 ht="12.5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ht="12.5" x14ac:dyDescent="0.25">
      <c r="A54" s="5" t="s">
        <v>25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ht="12.5" x14ac:dyDescent="0.25">
      <c r="A55" s="5"/>
      <c r="B55" s="5" t="s">
        <v>22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 ht="12.5" x14ac:dyDescent="0.25">
      <c r="A56" s="5" t="s">
        <v>24</v>
      </c>
      <c r="B56" s="5">
        <v>2</v>
      </c>
      <c r="C56" s="5">
        <v>3</v>
      </c>
      <c r="D56" s="5">
        <v>4</v>
      </c>
      <c r="E56" s="5">
        <v>5</v>
      </c>
      <c r="F56" s="5">
        <v>6</v>
      </c>
      <c r="G56" s="5">
        <v>7</v>
      </c>
      <c r="H56" s="5">
        <v>8</v>
      </c>
      <c r="I56" s="5">
        <v>9</v>
      </c>
      <c r="J56" s="5">
        <v>10</v>
      </c>
      <c r="K56" s="5" t="s">
        <v>2</v>
      </c>
      <c r="L56" s="5"/>
      <c r="M56" s="5"/>
      <c r="N56" s="5"/>
    </row>
    <row r="57" spans="1:14" ht="12.5" x14ac:dyDescent="0.25">
      <c r="A57" s="5">
        <v>2</v>
      </c>
      <c r="B57" s="5">
        <f t="shared" ref="B57:I57" si="54">1/13^2</f>
        <v>5.9171597633136093E-3</v>
      </c>
      <c r="C57" s="5">
        <f t="shared" si="54"/>
        <v>5.9171597633136093E-3</v>
      </c>
      <c r="D57" s="5">
        <f t="shared" si="54"/>
        <v>5.9171597633136093E-3</v>
      </c>
      <c r="E57" s="5">
        <f t="shared" si="54"/>
        <v>5.9171597633136093E-3</v>
      </c>
      <c r="F57" s="5">
        <f t="shared" si="54"/>
        <v>5.9171597633136093E-3</v>
      </c>
      <c r="G57" s="5">
        <f t="shared" si="54"/>
        <v>5.9171597633136093E-3</v>
      </c>
      <c r="H57" s="5">
        <f t="shared" si="54"/>
        <v>5.9171597633136093E-3</v>
      </c>
      <c r="I57" s="5">
        <f t="shared" si="54"/>
        <v>5.9171597633136093E-3</v>
      </c>
      <c r="J57" s="5">
        <f t="shared" ref="J57:J64" si="55">(1/13)*(4/13)</f>
        <v>2.3668639053254441E-2</v>
      </c>
      <c r="K57" s="5"/>
      <c r="L57" s="5"/>
      <c r="M57" s="5"/>
      <c r="N57" s="5"/>
    </row>
    <row r="58" spans="1:14" ht="12.5" x14ac:dyDescent="0.25">
      <c r="A58" s="5">
        <v>3</v>
      </c>
      <c r="B58" s="5">
        <f t="shared" ref="B58:I58" si="56">1/13^2</f>
        <v>5.9171597633136093E-3</v>
      </c>
      <c r="C58" s="5">
        <f t="shared" si="56"/>
        <v>5.9171597633136093E-3</v>
      </c>
      <c r="D58" s="5">
        <f t="shared" si="56"/>
        <v>5.9171597633136093E-3</v>
      </c>
      <c r="E58" s="5">
        <f t="shared" si="56"/>
        <v>5.9171597633136093E-3</v>
      </c>
      <c r="F58" s="5">
        <f t="shared" si="56"/>
        <v>5.9171597633136093E-3</v>
      </c>
      <c r="G58" s="5">
        <f t="shared" si="56"/>
        <v>5.9171597633136093E-3</v>
      </c>
      <c r="H58" s="5">
        <f t="shared" si="56"/>
        <v>5.9171597633136093E-3</v>
      </c>
      <c r="I58" s="5">
        <f t="shared" si="56"/>
        <v>5.9171597633136093E-3</v>
      </c>
      <c r="J58" s="5">
        <f t="shared" si="55"/>
        <v>2.3668639053254441E-2</v>
      </c>
      <c r="K58" s="5"/>
      <c r="L58" s="5"/>
      <c r="M58" s="5"/>
      <c r="N58" s="5"/>
    </row>
    <row r="59" spans="1:14" ht="12.5" x14ac:dyDescent="0.25">
      <c r="A59" s="5">
        <v>4</v>
      </c>
      <c r="B59" s="5">
        <f t="shared" ref="B59:I59" si="57">1/13^2</f>
        <v>5.9171597633136093E-3</v>
      </c>
      <c r="C59" s="5">
        <f t="shared" si="57"/>
        <v>5.9171597633136093E-3</v>
      </c>
      <c r="D59" s="5">
        <f t="shared" si="57"/>
        <v>5.9171597633136093E-3</v>
      </c>
      <c r="E59" s="5">
        <f t="shared" si="57"/>
        <v>5.9171597633136093E-3</v>
      </c>
      <c r="F59" s="5">
        <f t="shared" si="57"/>
        <v>5.9171597633136093E-3</v>
      </c>
      <c r="G59" s="5">
        <f t="shared" si="57"/>
        <v>5.9171597633136093E-3</v>
      </c>
      <c r="H59" s="5">
        <f t="shared" si="57"/>
        <v>5.9171597633136093E-3</v>
      </c>
      <c r="I59" s="5">
        <f t="shared" si="57"/>
        <v>5.9171597633136093E-3</v>
      </c>
      <c r="J59" s="5">
        <f t="shared" si="55"/>
        <v>2.3668639053254441E-2</v>
      </c>
      <c r="K59" s="5"/>
      <c r="L59" s="5"/>
      <c r="M59" s="5"/>
      <c r="N59" s="5"/>
    </row>
    <row r="60" spans="1:14" ht="12.5" x14ac:dyDescent="0.25">
      <c r="A60" s="5">
        <v>5</v>
      </c>
      <c r="B60" s="5">
        <f t="shared" ref="B60:I60" si="58">1/13^2</f>
        <v>5.9171597633136093E-3</v>
      </c>
      <c r="C60" s="5">
        <f t="shared" si="58"/>
        <v>5.9171597633136093E-3</v>
      </c>
      <c r="D60" s="5">
        <f t="shared" si="58"/>
        <v>5.9171597633136093E-3</v>
      </c>
      <c r="E60" s="5">
        <f t="shared" si="58"/>
        <v>5.9171597633136093E-3</v>
      </c>
      <c r="F60" s="5">
        <f t="shared" si="58"/>
        <v>5.9171597633136093E-3</v>
      </c>
      <c r="G60" s="5">
        <f t="shared" si="58"/>
        <v>5.9171597633136093E-3</v>
      </c>
      <c r="H60" s="5">
        <f t="shared" si="58"/>
        <v>5.9171597633136093E-3</v>
      </c>
      <c r="I60" s="5">
        <f t="shared" si="58"/>
        <v>5.9171597633136093E-3</v>
      </c>
      <c r="J60" s="5">
        <f t="shared" si="55"/>
        <v>2.3668639053254441E-2</v>
      </c>
      <c r="K60" s="5"/>
      <c r="L60" s="5"/>
      <c r="M60" s="5"/>
      <c r="N60" s="5"/>
    </row>
    <row r="61" spans="1:14" ht="12.5" x14ac:dyDescent="0.25">
      <c r="A61" s="5">
        <v>6</v>
      </c>
      <c r="B61" s="5">
        <f t="shared" ref="B61:I61" si="59">1/13^2</f>
        <v>5.9171597633136093E-3</v>
      </c>
      <c r="C61" s="5">
        <f t="shared" si="59"/>
        <v>5.9171597633136093E-3</v>
      </c>
      <c r="D61" s="5">
        <f t="shared" si="59"/>
        <v>5.9171597633136093E-3</v>
      </c>
      <c r="E61" s="5">
        <f t="shared" si="59"/>
        <v>5.9171597633136093E-3</v>
      </c>
      <c r="F61" s="5">
        <f t="shared" si="59"/>
        <v>5.9171597633136093E-3</v>
      </c>
      <c r="G61" s="5">
        <f t="shared" si="59"/>
        <v>5.9171597633136093E-3</v>
      </c>
      <c r="H61" s="5">
        <f t="shared" si="59"/>
        <v>5.9171597633136093E-3</v>
      </c>
      <c r="I61" s="5">
        <f t="shared" si="59"/>
        <v>5.9171597633136093E-3</v>
      </c>
      <c r="J61" s="5">
        <f t="shared" si="55"/>
        <v>2.3668639053254441E-2</v>
      </c>
      <c r="K61" s="5"/>
      <c r="L61" s="5"/>
      <c r="M61" s="5"/>
      <c r="N61" s="5"/>
    </row>
    <row r="62" spans="1:14" ht="12.5" x14ac:dyDescent="0.25">
      <c r="A62" s="5">
        <v>7</v>
      </c>
      <c r="B62" s="5">
        <f t="shared" ref="B62:I62" si="60">1/13^2</f>
        <v>5.9171597633136093E-3</v>
      </c>
      <c r="C62" s="5">
        <f t="shared" si="60"/>
        <v>5.9171597633136093E-3</v>
      </c>
      <c r="D62" s="5">
        <f t="shared" si="60"/>
        <v>5.9171597633136093E-3</v>
      </c>
      <c r="E62" s="5">
        <f t="shared" si="60"/>
        <v>5.9171597633136093E-3</v>
      </c>
      <c r="F62" s="5">
        <f t="shared" si="60"/>
        <v>5.9171597633136093E-3</v>
      </c>
      <c r="G62" s="5">
        <f t="shared" si="60"/>
        <v>5.9171597633136093E-3</v>
      </c>
      <c r="H62" s="5">
        <f t="shared" si="60"/>
        <v>5.9171597633136093E-3</v>
      </c>
      <c r="I62" s="5">
        <f t="shared" si="60"/>
        <v>5.9171597633136093E-3</v>
      </c>
      <c r="J62" s="5">
        <f t="shared" si="55"/>
        <v>2.3668639053254441E-2</v>
      </c>
      <c r="K62" s="5"/>
      <c r="L62" s="5"/>
      <c r="M62" s="5"/>
      <c r="N62" s="5"/>
    </row>
    <row r="63" spans="1:14" ht="12.5" x14ac:dyDescent="0.25">
      <c r="A63" s="5">
        <v>8</v>
      </c>
      <c r="B63" s="5">
        <f t="shared" ref="B63:I63" si="61">1/13^2</f>
        <v>5.9171597633136093E-3</v>
      </c>
      <c r="C63" s="5">
        <f t="shared" si="61"/>
        <v>5.9171597633136093E-3</v>
      </c>
      <c r="D63" s="5">
        <f t="shared" si="61"/>
        <v>5.9171597633136093E-3</v>
      </c>
      <c r="E63" s="5">
        <f t="shared" si="61"/>
        <v>5.9171597633136093E-3</v>
      </c>
      <c r="F63" s="5">
        <f t="shared" si="61"/>
        <v>5.9171597633136093E-3</v>
      </c>
      <c r="G63" s="5">
        <f t="shared" si="61"/>
        <v>5.9171597633136093E-3</v>
      </c>
      <c r="H63" s="5">
        <f t="shared" si="61"/>
        <v>5.9171597633136093E-3</v>
      </c>
      <c r="I63" s="5">
        <f t="shared" si="61"/>
        <v>5.9171597633136093E-3</v>
      </c>
      <c r="J63" s="5">
        <f t="shared" si="55"/>
        <v>2.3668639053254441E-2</v>
      </c>
      <c r="K63" s="5"/>
      <c r="L63" s="5"/>
      <c r="M63" s="5"/>
      <c r="N63" s="5"/>
    </row>
    <row r="64" spans="1:14" ht="12.5" x14ac:dyDescent="0.25">
      <c r="A64" s="5">
        <v>9</v>
      </c>
      <c r="B64" s="5">
        <f t="shared" ref="B64:I64" si="62">1/13^2</f>
        <v>5.9171597633136093E-3</v>
      </c>
      <c r="C64" s="5">
        <f t="shared" si="62"/>
        <v>5.9171597633136093E-3</v>
      </c>
      <c r="D64" s="5">
        <f t="shared" si="62"/>
        <v>5.9171597633136093E-3</v>
      </c>
      <c r="E64" s="5">
        <f t="shared" si="62"/>
        <v>5.9171597633136093E-3</v>
      </c>
      <c r="F64" s="5">
        <f t="shared" si="62"/>
        <v>5.9171597633136093E-3</v>
      </c>
      <c r="G64" s="5">
        <f t="shared" si="62"/>
        <v>5.9171597633136093E-3</v>
      </c>
      <c r="H64" s="5">
        <f t="shared" si="62"/>
        <v>5.9171597633136093E-3</v>
      </c>
      <c r="I64" s="5">
        <f t="shared" si="62"/>
        <v>5.9171597633136093E-3</v>
      </c>
      <c r="J64" s="5">
        <f t="shared" si="55"/>
        <v>2.3668639053254441E-2</v>
      </c>
      <c r="K64" s="5"/>
      <c r="L64" s="5"/>
      <c r="M64" s="5"/>
      <c r="N64" s="5"/>
    </row>
    <row r="65" spans="1:14" ht="12.5" x14ac:dyDescent="0.25">
      <c r="A65" s="5">
        <v>10</v>
      </c>
      <c r="B65" s="5">
        <f t="shared" ref="B65:J65" si="63">(1/13)*(4/13)</f>
        <v>2.3668639053254441E-2</v>
      </c>
      <c r="C65" s="5">
        <f t="shared" si="63"/>
        <v>2.3668639053254441E-2</v>
      </c>
      <c r="D65" s="5">
        <f t="shared" si="63"/>
        <v>2.3668639053254441E-2</v>
      </c>
      <c r="E65" s="5">
        <f t="shared" si="63"/>
        <v>2.3668639053254441E-2</v>
      </c>
      <c r="F65" s="5">
        <f t="shared" si="63"/>
        <v>2.3668639053254441E-2</v>
      </c>
      <c r="G65" s="5">
        <f t="shared" si="63"/>
        <v>2.3668639053254441E-2</v>
      </c>
      <c r="H65" s="5">
        <f t="shared" si="63"/>
        <v>2.3668639053254441E-2</v>
      </c>
      <c r="I65" s="5">
        <f t="shared" si="63"/>
        <v>2.3668639053254441E-2</v>
      </c>
      <c r="J65" s="5">
        <f t="shared" si="63"/>
        <v>2.3668639053254441E-2</v>
      </c>
      <c r="K65" s="5"/>
      <c r="L65" s="5"/>
      <c r="M65" s="5"/>
      <c r="N65" s="5"/>
    </row>
    <row r="66" spans="1:14" ht="12.5" x14ac:dyDescent="0.25">
      <c r="A66" s="5" t="s">
        <v>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 ht="12.5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ht="12.5" x14ac:dyDescent="0.25">
      <c r="A68" s="5" t="s">
        <v>1</v>
      </c>
      <c r="B68" s="5" t="s">
        <v>26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 ht="12.5" x14ac:dyDescent="0.25">
      <c r="A69" s="5">
        <v>5</v>
      </c>
      <c r="B69" s="5">
        <f t="shared" ref="B69:B83" si="64">SUMIF($B$43:$J$51,A69,$B$57:$J$65)</f>
        <v>1.1834319526627219E-2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ht="12.5" x14ac:dyDescent="0.25">
      <c r="A70" s="5">
        <v>6</v>
      </c>
      <c r="B70" s="5">
        <f t="shared" si="64"/>
        <v>1.1834319526627219E-2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 ht="12.5" x14ac:dyDescent="0.25">
      <c r="A71" s="5">
        <v>7</v>
      </c>
      <c r="B71" s="5">
        <f t="shared" si="64"/>
        <v>2.3668639053254437E-2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ht="12.5" x14ac:dyDescent="0.25">
      <c r="A72" s="5">
        <v>8</v>
      </c>
      <c r="B72" s="5">
        <f t="shared" si="64"/>
        <v>2.3668639053254437E-2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 ht="12.5" x14ac:dyDescent="0.25">
      <c r="A73" s="5">
        <v>9</v>
      </c>
      <c r="B73" s="5">
        <f t="shared" si="64"/>
        <v>3.5502958579881658E-2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 ht="12.5" x14ac:dyDescent="0.25">
      <c r="A74" s="5">
        <v>10</v>
      </c>
      <c r="B74" s="5">
        <f t="shared" si="64"/>
        <v>3.5502958579881658E-2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 ht="12.5" x14ac:dyDescent="0.25">
      <c r="A75" s="5">
        <v>11</v>
      </c>
      <c r="B75" s="5">
        <f t="shared" si="64"/>
        <v>4.7337278106508882E-2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 ht="12.5" x14ac:dyDescent="0.25">
      <c r="A76" s="5">
        <v>12</v>
      </c>
      <c r="B76" s="5">
        <f t="shared" si="64"/>
        <v>8.2840236686390539E-2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 ht="12.5" x14ac:dyDescent="0.25">
      <c r="A77" s="5">
        <v>13</v>
      </c>
      <c r="B77" s="5">
        <f t="shared" si="64"/>
        <v>8.2840236686390539E-2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 ht="12.5" x14ac:dyDescent="0.25">
      <c r="A78" s="5">
        <v>14</v>
      </c>
      <c r="B78" s="5">
        <f t="shared" si="64"/>
        <v>7.1005917159763315E-2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 ht="12.5" x14ac:dyDescent="0.25">
      <c r="A79" s="5">
        <v>15</v>
      </c>
      <c r="B79" s="5">
        <f t="shared" si="64"/>
        <v>7.1005917159763315E-2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ht="12.5" x14ac:dyDescent="0.25">
      <c r="A80" s="5">
        <v>16</v>
      </c>
      <c r="B80" s="5">
        <f t="shared" si="64"/>
        <v>5.9171597633136098E-2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 ht="12.5" x14ac:dyDescent="0.25">
      <c r="A81" s="5">
        <v>17</v>
      </c>
      <c r="B81" s="5">
        <f t="shared" si="64"/>
        <v>5.9171597633136098E-2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ht="12.5" x14ac:dyDescent="0.25">
      <c r="A82" s="5">
        <v>18</v>
      </c>
      <c r="B82" s="5">
        <f t="shared" si="64"/>
        <v>4.7337278106508882E-2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 ht="12.5" x14ac:dyDescent="0.25">
      <c r="A83" s="5">
        <v>19</v>
      </c>
      <c r="B83" s="5">
        <f t="shared" si="64"/>
        <v>4.7337278106508882E-2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 ht="12.5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</sheetData>
  <hyperlinks>
    <hyperlink ref="B1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39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.75" customHeight="1" x14ac:dyDescent="0.25"/>
  <sheetData>
    <row r="1" spans="1:11" ht="15.75" customHeight="1" x14ac:dyDescent="0.25">
      <c r="A1" s="5" t="s">
        <v>15</v>
      </c>
      <c r="B1" s="10" t="s">
        <v>16</v>
      </c>
      <c r="C1" s="5"/>
      <c r="D1" s="5"/>
      <c r="E1" s="5"/>
      <c r="F1" s="5"/>
      <c r="G1" s="5"/>
      <c r="H1" s="5"/>
      <c r="I1" s="5"/>
      <c r="J1" s="5"/>
      <c r="K1" s="5"/>
    </row>
    <row r="2" spans="1:11" ht="15.75" customHeight="1" x14ac:dyDescent="0.25">
      <c r="A2" s="5"/>
      <c r="B2" s="5">
        <v>2</v>
      </c>
      <c r="C2" s="5">
        <v>3</v>
      </c>
      <c r="D2" s="5">
        <v>4</v>
      </c>
      <c r="E2" s="5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 t="s">
        <v>2</v>
      </c>
    </row>
    <row r="3" spans="1:11" ht="15.75" customHeight="1" x14ac:dyDescent="0.25">
      <c r="A3" s="5" t="s">
        <v>1</v>
      </c>
    </row>
    <row r="4" spans="1:11" ht="15.75" customHeight="1" x14ac:dyDescent="0.25">
      <c r="A4" s="5">
        <v>5</v>
      </c>
      <c r="B4" s="5">
        <f>HSD!B3</f>
        <v>-0.12821556706374745</v>
      </c>
      <c r="C4" s="5">
        <f>HSD!C3</f>
        <v>-9.5310227261489883E-2</v>
      </c>
      <c r="D4" s="5">
        <f>HSD!D3</f>
        <v>-6.1479464199694238E-2</v>
      </c>
      <c r="E4" s="5">
        <f>HSD!E3</f>
        <v>-2.397897039185962E-2</v>
      </c>
      <c r="F4" s="5">
        <f>HSD!F3</f>
        <v>-1.1863378384400908E-3</v>
      </c>
      <c r="G4" s="5">
        <f>HSD!G3</f>
        <v>-0.11944744188414852</v>
      </c>
      <c r="H4" s="5">
        <f>HSD!H3</f>
        <v>-0.18809330390318518</v>
      </c>
      <c r="I4" s="5">
        <f>HSD!I3</f>
        <v>-0.2666150533579591</v>
      </c>
      <c r="J4" s="5">
        <f>HSD!J3</f>
        <v>-0.31341164336497107</v>
      </c>
      <c r="K4" s="5">
        <f>HSD!K3</f>
        <v>-0.27857459755181968</v>
      </c>
    </row>
    <row r="5" spans="1:11" ht="15.75" customHeight="1" x14ac:dyDescent="0.25">
      <c r="A5" s="5">
        <v>6</v>
      </c>
      <c r="B5" s="5">
        <f>HSD!B4</f>
        <v>-0.14075911746001987</v>
      </c>
      <c r="C5" s="5">
        <f>HSD!C4</f>
        <v>-0.10729107800860836</v>
      </c>
      <c r="D5" s="5">
        <f>HSD!D4</f>
        <v>-7.2917141926387305E-2</v>
      </c>
      <c r="E5" s="5">
        <f>HSD!E4</f>
        <v>-3.4915973330102178E-2</v>
      </c>
      <c r="F5" s="5">
        <f>HSD!F4</f>
        <v>-1.3005835529874204E-2</v>
      </c>
      <c r="G5" s="5">
        <f>HSD!G4</f>
        <v>-0.15193270723669944</v>
      </c>
      <c r="H5" s="5">
        <f>HSD!H4</f>
        <v>-0.21724188132078476</v>
      </c>
      <c r="I5" s="5">
        <f>HSD!I4</f>
        <v>-0.29264070019772598</v>
      </c>
      <c r="J5" s="5">
        <f>HSD!J4</f>
        <v>-0.33774944037840804</v>
      </c>
      <c r="K5" s="5">
        <f>HSD!K4</f>
        <v>-0.30414663097569938</v>
      </c>
    </row>
    <row r="6" spans="1:11" ht="15.75" customHeight="1" x14ac:dyDescent="0.25">
      <c r="A6" s="5">
        <v>7</v>
      </c>
      <c r="B6" s="5">
        <f>HSD!B5</f>
        <v>-0.10918342786661633</v>
      </c>
      <c r="C6" s="5">
        <f>HSD!C5</f>
        <v>-7.658298190446361E-2</v>
      </c>
      <c r="D6" s="5">
        <f>HSD!D5</f>
        <v>-4.3021794004341876E-2</v>
      </c>
      <c r="E6" s="5">
        <f>HSD!E5</f>
        <v>-7.2713609029408845E-3</v>
      </c>
      <c r="F6" s="5">
        <f>HSD!F5</f>
        <v>2.9185342353860964E-2</v>
      </c>
      <c r="G6" s="5">
        <f>HSD!G5</f>
        <v>-6.8807799580427764E-2</v>
      </c>
      <c r="H6" s="5">
        <f>HSD!H5</f>
        <v>-0.21060476872434966</v>
      </c>
      <c r="I6" s="5">
        <f>HSD!I5</f>
        <v>-0.28536544048687662</v>
      </c>
      <c r="J6" s="5">
        <f>HSD!J5</f>
        <v>-0.31905479139833842</v>
      </c>
      <c r="K6" s="5">
        <f>HSD!K5</f>
        <v>-0.31007165033163697</v>
      </c>
    </row>
    <row r="7" spans="1:11" ht="15.75" customHeight="1" x14ac:dyDescent="0.25">
      <c r="A7" s="5">
        <v>8</v>
      </c>
      <c r="B7" s="5">
        <f>HSD!B6</f>
        <v>-2.1798188008805668E-2</v>
      </c>
      <c r="C7" s="5">
        <f>HSD!C6</f>
        <v>8.0052625306546651E-3</v>
      </c>
      <c r="D7" s="5">
        <f>HSD!D6</f>
        <v>3.8784473277208811E-2</v>
      </c>
      <c r="E7" s="5">
        <f>HSD!E6</f>
        <v>7.0804635983033826E-2</v>
      </c>
      <c r="F7" s="5">
        <f>HSD!F6</f>
        <v>0.11496015009622332</v>
      </c>
      <c r="G7" s="5">
        <f>HSD!G6</f>
        <v>8.2207439363742862E-2</v>
      </c>
      <c r="H7" s="5">
        <f>HSD!H6</f>
        <v>-5.9898275658656304E-2</v>
      </c>
      <c r="I7" s="5">
        <f>HSD!I6</f>
        <v>-0.21018633199821762</v>
      </c>
      <c r="J7" s="5">
        <f>HSD!J6</f>
        <v>-0.24937508055334259</v>
      </c>
      <c r="K7" s="5">
        <f>HSD!K6</f>
        <v>-0.1970288105741636</v>
      </c>
    </row>
    <row r="8" spans="1:11" ht="15.75" customHeight="1" x14ac:dyDescent="0.25">
      <c r="A8" s="5">
        <v>9</v>
      </c>
      <c r="B8" s="5">
        <f>HSD!B7</f>
        <v>7.4446037576340524E-2</v>
      </c>
      <c r="C8" s="5">
        <f>HSD!C7</f>
        <v>0.12081635332999649</v>
      </c>
      <c r="D8" s="5">
        <f>HSD!D7</f>
        <v>0.18194893405242166</v>
      </c>
      <c r="E8" s="5">
        <f>HSD!E7</f>
        <v>0.24305722487303633</v>
      </c>
      <c r="F8" s="5">
        <f>HSD!F7</f>
        <v>0.31705474570166703</v>
      </c>
      <c r="G8" s="5">
        <f>HSD!G7</f>
        <v>0.17186785993695267</v>
      </c>
      <c r="H8" s="5">
        <f>HSD!H7</f>
        <v>9.8376217435392543E-2</v>
      </c>
      <c r="I8" s="5">
        <f>HSD!I7</f>
        <v>-5.2178053462651711E-2</v>
      </c>
      <c r="J8" s="5">
        <f>HSD!J7</f>
        <v>-0.15295298487455075</v>
      </c>
      <c r="K8" s="5">
        <f>HSD!K7</f>
        <v>-6.5680778778066204E-2</v>
      </c>
    </row>
    <row r="9" spans="1:11" ht="15.75" customHeight="1" x14ac:dyDescent="0.25">
      <c r="A9" s="5">
        <v>10</v>
      </c>
      <c r="B9" s="5">
        <f>HSD!B8</f>
        <v>0.3589394124422991</v>
      </c>
      <c r="C9" s="5">
        <f>HSD!C8</f>
        <v>0.40932067017593915</v>
      </c>
      <c r="D9" s="5">
        <f>HSD!D8</f>
        <v>0.460940243794354</v>
      </c>
      <c r="E9" s="5">
        <f>HSD!E8</f>
        <v>0.51251710900326775</v>
      </c>
      <c r="F9" s="5">
        <f>HSD!F8</f>
        <v>0.57559016859776868</v>
      </c>
      <c r="G9" s="5">
        <f>HSD!G8</f>
        <v>0.39241245528243773</v>
      </c>
      <c r="H9" s="5">
        <f>HSD!H8</f>
        <v>0.28663571688628381</v>
      </c>
      <c r="I9" s="5">
        <f>HSD!I8</f>
        <v>0.14432836838077112</v>
      </c>
      <c r="J9" s="5">
        <f>HSD!J8</f>
        <v>2.5308523040868145E-2</v>
      </c>
      <c r="K9" s="5">
        <f>HSD!K8</f>
        <v>8.1449707945275923E-2</v>
      </c>
    </row>
    <row r="10" spans="1:11" ht="15.75" customHeight="1" x14ac:dyDescent="0.25">
      <c r="A10" s="5">
        <v>11</v>
      </c>
      <c r="B10" s="5">
        <f>HSD!B9</f>
        <v>0.47064092333946889</v>
      </c>
      <c r="C10" s="5">
        <f>HSD!C9</f>
        <v>0.51779525312221664</v>
      </c>
      <c r="D10" s="5">
        <f>HSD!D9</f>
        <v>0.56604055041797607</v>
      </c>
      <c r="E10" s="5">
        <f>HSD!E9</f>
        <v>0.61469901790902803</v>
      </c>
      <c r="F10" s="5">
        <f>HSD!F9</f>
        <v>0.66738009490756967</v>
      </c>
      <c r="G10" s="5">
        <f>HSD!G9</f>
        <v>0.46288894886429094</v>
      </c>
      <c r="H10" s="5">
        <f>HSD!H9</f>
        <v>0.35069259087031501</v>
      </c>
      <c r="I10" s="5">
        <f>HSD!I9</f>
        <v>0.22778342315245487</v>
      </c>
      <c r="J10" s="5">
        <f>HSD!J9</f>
        <v>0.1796887274111463</v>
      </c>
      <c r="K10" s="5">
        <f>HSD!K9</f>
        <v>0.14300128216153019</v>
      </c>
    </row>
    <row r="11" spans="1:11" ht="15.75" customHeight="1" x14ac:dyDescent="0.25">
      <c r="A11" s="5">
        <v>12</v>
      </c>
      <c r="B11" s="5">
        <f>HSD!B10</f>
        <v>-0.25338998596663803</v>
      </c>
      <c r="C11" s="5">
        <f>HSD!C10</f>
        <v>-0.2336908997980866</v>
      </c>
      <c r="D11" s="5">
        <f>HSD!D10</f>
        <v>-0.21106310899491437</v>
      </c>
      <c r="E11" s="5">
        <f>HSD!E10</f>
        <v>-0.16719266083547524</v>
      </c>
      <c r="F11" s="5">
        <f>HSD!F10</f>
        <v>-0.15369901583000439</v>
      </c>
      <c r="G11" s="5">
        <f>HSD!G10</f>
        <v>-0.21284771451731427</v>
      </c>
      <c r="H11" s="5">
        <f>HSD!H10</f>
        <v>-0.27157480502428616</v>
      </c>
      <c r="I11" s="5">
        <f>HSD!I10</f>
        <v>-0.3400132806089356</v>
      </c>
      <c r="J11" s="5">
        <f>HSD!J10</f>
        <v>-0.38104299284808757</v>
      </c>
      <c r="K11" s="5">
        <f>HSD!K10</f>
        <v>-0.35054034044008009</v>
      </c>
    </row>
    <row r="12" spans="1:11" ht="15.75" customHeight="1" x14ac:dyDescent="0.25">
      <c r="A12" s="5">
        <v>13</v>
      </c>
      <c r="B12" s="5">
        <f>HSD!B11</f>
        <v>-0.29278372720927726</v>
      </c>
      <c r="C12" s="5">
        <f>HSD!C11</f>
        <v>-0.2522502292357135</v>
      </c>
      <c r="D12" s="5">
        <f>HSD!D11</f>
        <v>-0.21106310899491437</v>
      </c>
      <c r="E12" s="5">
        <f>HSD!E11</f>
        <v>-0.16719266083547524</v>
      </c>
      <c r="F12" s="5">
        <f>HSD!F11</f>
        <v>-0.15369901583000439</v>
      </c>
      <c r="G12" s="5">
        <f>HSD!G11</f>
        <v>-0.26907287776607752</v>
      </c>
      <c r="H12" s="5">
        <f>HSD!H11</f>
        <v>-0.32360517609397998</v>
      </c>
      <c r="I12" s="5">
        <f>HSD!I11</f>
        <v>-0.38715518913686875</v>
      </c>
      <c r="J12" s="5">
        <f>HSD!J11</f>
        <v>-0.42525420764465277</v>
      </c>
      <c r="K12" s="5">
        <f>HSD!K11</f>
        <v>-0.3969303161229315</v>
      </c>
    </row>
    <row r="13" spans="1:11" ht="15.75" customHeight="1" x14ac:dyDescent="0.25">
      <c r="A13" s="5">
        <v>14</v>
      </c>
      <c r="B13" s="5">
        <f>HSD!B12</f>
        <v>-0.29278372720927726</v>
      </c>
      <c r="C13" s="5">
        <f>HSD!C12</f>
        <v>-0.2522502292357135</v>
      </c>
      <c r="D13" s="5">
        <f>HSD!D12</f>
        <v>-0.21106310899491437</v>
      </c>
      <c r="E13" s="5">
        <f>HSD!E12</f>
        <v>-0.16719266083547524</v>
      </c>
      <c r="F13" s="5">
        <f>HSD!F12</f>
        <v>-0.15369901583000439</v>
      </c>
      <c r="G13" s="5">
        <f>HSD!G12</f>
        <v>-0.3212819579256434</v>
      </c>
      <c r="H13" s="5">
        <f>HSD!H12</f>
        <v>-0.37191909208726709</v>
      </c>
      <c r="I13" s="5">
        <f>HSD!I12</f>
        <v>-0.43092981848423528</v>
      </c>
      <c r="J13" s="5">
        <f>HSD!J12</f>
        <v>-0.46630747852717758</v>
      </c>
      <c r="K13" s="5">
        <f>HSD!K12</f>
        <v>-0.44000672211415065</v>
      </c>
    </row>
    <row r="14" spans="1:11" ht="15.75" customHeight="1" x14ac:dyDescent="0.25">
      <c r="A14" s="5">
        <v>15</v>
      </c>
      <c r="B14" s="5">
        <f>HSD!B13</f>
        <v>-0.29278372720927726</v>
      </c>
      <c r="C14" s="5">
        <f>HSD!C13</f>
        <v>-0.2522502292357135</v>
      </c>
      <c r="D14" s="5">
        <f>HSD!D13</f>
        <v>-0.21106310899491437</v>
      </c>
      <c r="E14" s="5">
        <f>HSD!E13</f>
        <v>-0.16719266083547524</v>
      </c>
      <c r="F14" s="5">
        <f>HSD!F13</f>
        <v>-0.15369901583000439</v>
      </c>
      <c r="G14" s="5">
        <f>HSD!G13</f>
        <v>-0.36976181807381175</v>
      </c>
      <c r="H14" s="5">
        <f>HSD!H13</f>
        <v>-0.41678201408103371</v>
      </c>
      <c r="I14" s="5">
        <f>HSD!I13</f>
        <v>-0.47157768859250421</v>
      </c>
      <c r="J14" s="5">
        <f>HSD!J13</f>
        <v>-0.5044283729180935</v>
      </c>
      <c r="K14" s="5">
        <f>HSD!K13</f>
        <v>-0.4800062419631399</v>
      </c>
    </row>
    <row r="15" spans="1:11" ht="15.75" customHeight="1" x14ac:dyDescent="0.25">
      <c r="A15" s="5">
        <v>16</v>
      </c>
      <c r="B15" s="5">
        <f>HSD!B14</f>
        <v>-0.29278372720927726</v>
      </c>
      <c r="C15" s="5">
        <f>HSD!C14</f>
        <v>-0.2522502292357135</v>
      </c>
      <c r="D15" s="5">
        <f>HSD!D14</f>
        <v>-0.21106310899491437</v>
      </c>
      <c r="E15" s="5">
        <f>HSD!E14</f>
        <v>-0.16719266083547524</v>
      </c>
      <c r="F15" s="5">
        <f>HSD!F14</f>
        <v>-0.15369901583000439</v>
      </c>
      <c r="G15" s="5">
        <f>HSD!G14</f>
        <v>-0.41477883106853947</v>
      </c>
      <c r="H15" s="5">
        <f>HSD!H14</f>
        <v>-0.45844044164667419</v>
      </c>
      <c r="I15" s="5">
        <f>HSD!I14</f>
        <v>-0.50932213940732529</v>
      </c>
      <c r="J15" s="5">
        <f>HSD!J14</f>
        <v>-0.53982634628108683</v>
      </c>
      <c r="K15" s="5">
        <f>HSD!K14</f>
        <v>-0.51714865325148707</v>
      </c>
    </row>
    <row r="16" spans="1:11" ht="15.75" customHeight="1" x14ac:dyDescent="0.25">
      <c r="A16" s="5">
        <v>17</v>
      </c>
      <c r="B16" s="5">
        <f>HSD!B15</f>
        <v>-0.15297458768154204</v>
      </c>
      <c r="C16" s="5">
        <f>HSD!C15</f>
        <v>-0.11721624142457365</v>
      </c>
      <c r="D16" s="5">
        <f>HSD!D15</f>
        <v>-8.0573373145316152E-2</v>
      </c>
      <c r="E16" s="5">
        <f>HSD!E15</f>
        <v>-4.4941375564924446E-2</v>
      </c>
      <c r="F16" s="5">
        <f>HSD!F15</f>
        <v>1.1739160673341964E-2</v>
      </c>
      <c r="G16" s="5">
        <f>HSD!G15</f>
        <v>-0.10680898948269468</v>
      </c>
      <c r="H16" s="5">
        <f>HSD!H15</f>
        <v>-0.38195097104844711</v>
      </c>
      <c r="I16" s="5">
        <f>HSD!I15</f>
        <v>-0.42315423964521748</v>
      </c>
      <c r="J16" s="5">
        <f>HSD!J15</f>
        <v>-0.41972063392881986</v>
      </c>
      <c r="K16" s="5">
        <f>HSD!K15</f>
        <v>-0.47803347499473703</v>
      </c>
    </row>
    <row r="17" spans="1:11" ht="15.75" customHeight="1" x14ac:dyDescent="0.25">
      <c r="A17" s="5">
        <v>18</v>
      </c>
      <c r="B17" s="5">
        <f>HSD!B16</f>
        <v>0.12174190222088771</v>
      </c>
      <c r="C17" s="5">
        <f>HSD!C16</f>
        <v>0.14830007284131114</v>
      </c>
      <c r="D17" s="5">
        <f>HSD!D16</f>
        <v>0.17585443719748528</v>
      </c>
      <c r="E17" s="5">
        <f>HSD!E16</f>
        <v>0.19956119497617719</v>
      </c>
      <c r="F17" s="5">
        <f>HSD!F16</f>
        <v>0.28344391604689867</v>
      </c>
      <c r="G17" s="5">
        <f>HSD!G16</f>
        <v>0.3995541673365518</v>
      </c>
      <c r="H17" s="5">
        <f>HSD!H16</f>
        <v>0.10595134861912359</v>
      </c>
      <c r="I17" s="5">
        <f>HSD!I16</f>
        <v>-0.18316335667343342</v>
      </c>
      <c r="J17" s="5">
        <f>HSD!J16</f>
        <v>-0.17830123379648949</v>
      </c>
      <c r="K17" s="5">
        <f>HSD!K16</f>
        <v>-0.10019887561319057</v>
      </c>
    </row>
    <row r="18" spans="1:11" ht="15.75" customHeight="1" x14ac:dyDescent="0.25">
      <c r="A18" s="5">
        <v>19</v>
      </c>
      <c r="B18" s="5">
        <f>HSD!B17</f>
        <v>0.38630468602058993</v>
      </c>
      <c r="C18" s="5">
        <f>HSD!C17</f>
        <v>0.4043629365977599</v>
      </c>
      <c r="D18" s="5">
        <f>HSD!D17</f>
        <v>0.42317892482749653</v>
      </c>
      <c r="E18" s="5">
        <f>HSD!E17</f>
        <v>0.43951210416088371</v>
      </c>
      <c r="F18" s="5">
        <f>HSD!F17</f>
        <v>0.49597707378731926</v>
      </c>
      <c r="G18" s="5">
        <f>HSD!G17</f>
        <v>0.6159764957534315</v>
      </c>
      <c r="H18" s="5">
        <f>HSD!H17</f>
        <v>0.59385366828669439</v>
      </c>
      <c r="I18" s="5">
        <f>HSD!I17</f>
        <v>0.28759675706758148</v>
      </c>
      <c r="J18" s="5">
        <f>HSD!J17</f>
        <v>6.3118166335840831E-2</v>
      </c>
      <c r="K18" s="5">
        <f>HSD!K17</f>
        <v>0.27763572376835594</v>
      </c>
    </row>
    <row r="19" spans="1:11" ht="15.75" customHeight="1" x14ac:dyDescent="0.25">
      <c r="A19" s="5" t="s">
        <v>6</v>
      </c>
    </row>
    <row r="20" spans="1:11" ht="15.75" customHeight="1" x14ac:dyDescent="0.25">
      <c r="A20" s="5">
        <v>13</v>
      </c>
      <c r="B20" s="5">
        <f>HSDR!B33</f>
        <v>4.6636132695309578E-2</v>
      </c>
      <c r="C20" s="5">
        <f>HSDR!C33</f>
        <v>7.4118813392744051E-2</v>
      </c>
      <c r="D20" s="5">
        <f>HSDR!D33</f>
        <v>0.10247714687203523</v>
      </c>
      <c r="E20" s="5">
        <f>HSDR!E33</f>
        <v>0.13336273848321728</v>
      </c>
      <c r="F20" s="5">
        <f>HSDR!F33</f>
        <v>0.17974820582791531</v>
      </c>
      <c r="G20" s="5">
        <f>HSDR!G33</f>
        <v>0.12238569517899196</v>
      </c>
      <c r="H20" s="5">
        <f>HSDR!H33</f>
        <v>5.4057070196311299E-2</v>
      </c>
      <c r="I20" s="5">
        <f>HSDR!I33</f>
        <v>-3.7694688127479899E-2</v>
      </c>
      <c r="J20" s="5">
        <f>HSDR!J33</f>
        <v>-0.10485135840627777</v>
      </c>
      <c r="K20" s="5">
        <f>HSDR!K33</f>
        <v>-5.7308046666810254E-2</v>
      </c>
    </row>
    <row r="21" spans="1:11" ht="15.75" customHeight="1" x14ac:dyDescent="0.25">
      <c r="A21" s="5">
        <v>14</v>
      </c>
      <c r="B21" s="5">
        <f>HSDR!B34</f>
        <v>2.2391856987839083E-2</v>
      </c>
      <c r="C21" s="5">
        <f>HSDR!C34</f>
        <v>5.0806738919282814E-2</v>
      </c>
      <c r="D21" s="5">
        <f>HSDR!D34</f>
        <v>8.0081414310110233E-2</v>
      </c>
      <c r="E21" s="5">
        <f>HSDR!E34</f>
        <v>0.12595448524867925</v>
      </c>
      <c r="F21" s="5">
        <f>HSDR!F34</f>
        <v>0.17974820582791531</v>
      </c>
      <c r="G21" s="5">
        <f>HSDR!G34</f>
        <v>7.9507488494468148E-2</v>
      </c>
      <c r="H21" s="5">
        <f>HSDR!H34</f>
        <v>1.3277219463208461E-2</v>
      </c>
      <c r="I21" s="5">
        <f>HSDR!I34</f>
        <v>-7.5163189441683848E-2</v>
      </c>
      <c r="J21" s="5">
        <f>HSDR!J34</f>
        <v>-0.1394667821754545</v>
      </c>
      <c r="K21" s="5">
        <f>HSDR!K34</f>
        <v>-9.3874324768310105E-2</v>
      </c>
    </row>
    <row r="22" spans="1:11" ht="15.75" customHeight="1" x14ac:dyDescent="0.25">
      <c r="A22" s="5">
        <v>15</v>
      </c>
      <c r="B22" s="5">
        <f>HSDR!B35</f>
        <v>-1.2068474052636583E-4</v>
      </c>
      <c r="C22" s="5">
        <f>HSDR!C35</f>
        <v>2.9159812622497332E-2</v>
      </c>
      <c r="D22" s="5">
        <f>HSDR!D35</f>
        <v>5.9285376931179926E-2</v>
      </c>
      <c r="E22" s="5">
        <f>HSDR!E35</f>
        <v>0.12595448524867925</v>
      </c>
      <c r="F22" s="5">
        <f>HSDR!F35</f>
        <v>0.17974820582791531</v>
      </c>
      <c r="G22" s="5">
        <f>HSDR!G35</f>
        <v>3.7028282279269235E-2</v>
      </c>
      <c r="H22" s="5">
        <f>HSDR!H35</f>
        <v>-2.7054780502901658E-2</v>
      </c>
      <c r="I22" s="5">
        <f>HSDR!I35</f>
        <v>-0.11218876868994292</v>
      </c>
      <c r="J22" s="5">
        <f>HSDR!J35</f>
        <v>-0.17370423031226784</v>
      </c>
      <c r="K22" s="5">
        <f>HSDR!K35</f>
        <v>-0.13002650167843849</v>
      </c>
    </row>
    <row r="23" spans="1:11" ht="12.5" x14ac:dyDescent="0.25">
      <c r="A23" s="5">
        <v>16</v>
      </c>
      <c r="B23" s="5">
        <f>HSDR!B36</f>
        <v>-2.1025187774008566E-2</v>
      </c>
      <c r="C23" s="5">
        <f>HSDR!C36</f>
        <v>9.0590953469108244E-3</v>
      </c>
      <c r="D23" s="5">
        <f>HSDR!D36</f>
        <v>5.8426518743744951E-2</v>
      </c>
      <c r="E23" s="5">
        <f>HSDR!E36</f>
        <v>0.12595448524867925</v>
      </c>
      <c r="F23" s="5">
        <f>HSDR!F36</f>
        <v>0.17974820582791523</v>
      </c>
      <c r="G23" s="5">
        <f>HSDR!G36</f>
        <v>-4.8901571730158942E-3</v>
      </c>
      <c r="H23" s="5">
        <f>HSDR!H36</f>
        <v>-6.6794847920094089E-2</v>
      </c>
      <c r="I23" s="5">
        <f>HSDR!I36</f>
        <v>-0.14864353463007476</v>
      </c>
      <c r="J23" s="5">
        <f>HSDR!J36</f>
        <v>-0.20744109003068206</v>
      </c>
      <c r="K23" s="5">
        <f>HSDR!K36</f>
        <v>-0.16563717206687348</v>
      </c>
    </row>
    <row r="24" spans="1:11" ht="12.5" x14ac:dyDescent="0.25">
      <c r="A24" s="5">
        <v>17</v>
      </c>
      <c r="B24" s="5">
        <f>HSDR!B37</f>
        <v>-4.9104358288912882E-4</v>
      </c>
      <c r="C24" s="5">
        <f>HSDR!C37</f>
        <v>5.5095284479298269E-2</v>
      </c>
      <c r="D24" s="5">
        <f>HSDR!D37</f>
        <v>0.11865255067432869</v>
      </c>
      <c r="E24" s="5">
        <f>HSDR!E37</f>
        <v>0.18237815537354879</v>
      </c>
      <c r="F24" s="5">
        <f>HSDR!F37</f>
        <v>0.25610428729099821</v>
      </c>
      <c r="G24" s="5">
        <f>HSDR!G37</f>
        <v>5.3823463716116654E-2</v>
      </c>
      <c r="H24" s="5">
        <f>HSDR!H37</f>
        <v>-7.2915398729642061E-2</v>
      </c>
      <c r="I24" s="5">
        <f>HSDR!I37</f>
        <v>-0.14978689218213329</v>
      </c>
      <c r="J24" s="5">
        <f>HSDR!J37</f>
        <v>-0.19686697623363469</v>
      </c>
      <c r="K24" s="5">
        <f>HSDR!K37</f>
        <v>-0.17956936979241733</v>
      </c>
    </row>
    <row r="25" spans="1:11" ht="12.5" x14ac:dyDescent="0.25">
      <c r="A25" s="5">
        <v>18</v>
      </c>
      <c r="B25" s="5">
        <f>HSDR!B38</f>
        <v>0.12174190222088771</v>
      </c>
      <c r="C25" s="5">
        <f>HSDR!C38</f>
        <v>0.1776412756789375</v>
      </c>
      <c r="D25" s="5">
        <f>HSDR!D38</f>
        <v>0.23700384775562167</v>
      </c>
      <c r="E25" s="5">
        <f>HSDR!E38</f>
        <v>0.29522549562328804</v>
      </c>
      <c r="F25" s="5">
        <f>HSDR!F38</f>
        <v>0.38150648207879362</v>
      </c>
      <c r="G25" s="5">
        <f>HSDR!G38</f>
        <v>0.3995541673365518</v>
      </c>
      <c r="H25" s="5">
        <f>HSDR!H38</f>
        <v>0.10595134861912359</v>
      </c>
      <c r="I25" s="5">
        <f>HSDR!I38</f>
        <v>-0.10074430758041525</v>
      </c>
      <c r="J25" s="5">
        <f>HSDR!J38</f>
        <v>-0.14380812317405353</v>
      </c>
      <c r="K25" s="5">
        <f>HSDR!K38</f>
        <v>-9.2935491769284034E-2</v>
      </c>
    </row>
    <row r="26" spans="1:11" ht="12.5" x14ac:dyDescent="0.25">
      <c r="A26" s="5">
        <v>19</v>
      </c>
      <c r="B26" s="5">
        <f>HSDR!B39</f>
        <v>0.38630468602058993</v>
      </c>
      <c r="C26" s="5">
        <f>HSDR!C39</f>
        <v>0.4043629365977599</v>
      </c>
      <c r="D26" s="5">
        <f>HSDR!D39</f>
        <v>0.42317892482749653</v>
      </c>
      <c r="E26" s="5">
        <f>HSDR!E39</f>
        <v>0.43951210416088371</v>
      </c>
      <c r="F26" s="5">
        <f>HSDR!F39</f>
        <v>0.49597707378731926</v>
      </c>
      <c r="G26" s="5">
        <f>HSDR!G39</f>
        <v>0.6159764957534315</v>
      </c>
      <c r="H26" s="5">
        <f>HSDR!H39</f>
        <v>0.59385366828669439</v>
      </c>
      <c r="I26" s="5">
        <f>HSDR!I39</f>
        <v>0.28759675706758148</v>
      </c>
      <c r="J26" s="5">
        <f>HSDR!J39</f>
        <v>6.3118166335840831E-2</v>
      </c>
      <c r="K26" s="5">
        <f>HSDR!K39</f>
        <v>0.27763572376835594</v>
      </c>
    </row>
    <row r="27" spans="1:11" ht="12.5" x14ac:dyDescent="0.25">
      <c r="A27" s="5">
        <v>20</v>
      </c>
      <c r="B27" s="5">
        <f>HSDR!B40</f>
        <v>0.63998657521683877</v>
      </c>
      <c r="C27" s="5">
        <f>HSDR!C40</f>
        <v>0.65027209425148136</v>
      </c>
      <c r="D27" s="5">
        <f>HSDR!D40</f>
        <v>0.66104996194807186</v>
      </c>
      <c r="E27" s="5">
        <f>HSDR!E40</f>
        <v>0.67035969063279999</v>
      </c>
      <c r="F27" s="5">
        <f>HSDR!F40</f>
        <v>0.70395857017134467</v>
      </c>
      <c r="G27" s="5">
        <f>HSDR!G40</f>
        <v>0.77322722653717491</v>
      </c>
      <c r="H27" s="5">
        <f>HSDR!H40</f>
        <v>0.79181515955189841</v>
      </c>
      <c r="I27" s="5">
        <f>HSDR!I40</f>
        <v>0.75835687080859615</v>
      </c>
      <c r="J27" s="5">
        <f>HSDR!J40</f>
        <v>0.55453756646817121</v>
      </c>
      <c r="K27" s="5">
        <f>HSDR!K40</f>
        <v>0.65547032314990239</v>
      </c>
    </row>
    <row r="28" spans="1:11" ht="12.5" x14ac:dyDescent="0.25">
      <c r="A28" s="5">
        <v>21</v>
      </c>
      <c r="B28" s="5">
        <v>1.5</v>
      </c>
      <c r="C28" s="5">
        <v>1.5</v>
      </c>
      <c r="D28" s="5">
        <v>1.5</v>
      </c>
      <c r="E28" s="5">
        <v>1.5</v>
      </c>
      <c r="F28" s="5">
        <v>1.5</v>
      </c>
      <c r="G28" s="5">
        <v>1.5</v>
      </c>
      <c r="H28" s="5">
        <v>1.5</v>
      </c>
      <c r="I28" s="5">
        <v>1.5</v>
      </c>
      <c r="J28" s="5">
        <v>1.5</v>
      </c>
      <c r="K28" s="5">
        <v>1.5</v>
      </c>
    </row>
    <row r="29" spans="1:11" ht="12.5" x14ac:dyDescent="0.25">
      <c r="A29" s="5" t="s">
        <v>19</v>
      </c>
    </row>
    <row r="30" spans="1:11" ht="12.5" x14ac:dyDescent="0.25">
      <c r="A30" s="5">
        <v>2</v>
      </c>
      <c r="B30" s="5">
        <f>Split!B16</f>
        <v>-8.8887240897114583E-2</v>
      </c>
      <c r="C30" s="5">
        <f>Split!C16</f>
        <v>-2.5616130479246414E-2</v>
      </c>
      <c r="D30" s="5">
        <f>Split!D16</f>
        <v>4.2946629568768907E-2</v>
      </c>
      <c r="E30" s="5">
        <f>Split!E16</f>
        <v>0.12724982334843896</v>
      </c>
      <c r="F30" s="5">
        <f>Split!F16</f>
        <v>0.19477859816579277</v>
      </c>
      <c r="G30" s="5">
        <f>Split!G16</f>
        <v>-7.3993244927046632E-3</v>
      </c>
      <c r="H30" s="5">
        <f>Split!H16</f>
        <v>-0.15933415266020509</v>
      </c>
      <c r="I30" s="5">
        <f>Split!I16</f>
        <v>-0.24066617915336547</v>
      </c>
      <c r="J30" s="5">
        <f>Split!J16</f>
        <v>-0.28919791448567511</v>
      </c>
      <c r="K30" s="5">
        <f>Split!K16</f>
        <v>-0.25307699440390868</v>
      </c>
    </row>
    <row r="31" spans="1:11" ht="12.5" x14ac:dyDescent="0.25">
      <c r="A31" s="5">
        <v>3</v>
      </c>
      <c r="B31" s="5">
        <f>Split!B17</f>
        <v>-0.13816353305492135</v>
      </c>
      <c r="C31" s="5">
        <f>Split!C17</f>
        <v>-6.3866434744217354E-2</v>
      </c>
      <c r="D31" s="5">
        <f>Split!D17</f>
        <v>1.4624872422626991E-2</v>
      </c>
      <c r="E31" s="5">
        <f>Split!E17</f>
        <v>0.10229274834073326</v>
      </c>
      <c r="F31" s="5">
        <f>Split!F17</f>
        <v>0.16942022384102598</v>
      </c>
      <c r="G31" s="5">
        <f>Split!G17</f>
        <v>-6.7760458821693487E-2</v>
      </c>
      <c r="H31" s="5">
        <f>Split!H17</f>
        <v>-0.21724188132078476</v>
      </c>
      <c r="I31" s="5">
        <f>Split!I17</f>
        <v>-0.29264070019772598</v>
      </c>
      <c r="J31" s="5">
        <f>Split!J17</f>
        <v>-0.33774944037840804</v>
      </c>
      <c r="K31" s="5">
        <f>Split!K17</f>
        <v>-0.30414663097569938</v>
      </c>
    </row>
    <row r="32" spans="1:11" ht="12.5" x14ac:dyDescent="0.25">
      <c r="A32" s="5">
        <v>4</v>
      </c>
      <c r="B32" s="5">
        <f>Split!B18</f>
        <v>-2.1798188008805668E-2</v>
      </c>
      <c r="C32" s="5">
        <f>Split!C18</f>
        <v>8.0052625306546651E-3</v>
      </c>
      <c r="D32" s="5">
        <f>Split!D18</f>
        <v>3.8784473277208811E-2</v>
      </c>
      <c r="E32" s="5">
        <f>Split!E18</f>
        <v>8.0259872887869343E-2</v>
      </c>
      <c r="F32" s="5">
        <f>Split!F18</f>
        <v>0.14595673491924682</v>
      </c>
      <c r="G32" s="5">
        <f>Split!G18</f>
        <v>8.2207439363742862E-2</v>
      </c>
      <c r="H32" s="5">
        <f>Split!H18</f>
        <v>-5.9898275658656304E-2</v>
      </c>
      <c r="I32" s="5">
        <f>Split!I18</f>
        <v>-0.21018633199821762</v>
      </c>
      <c r="J32" s="5">
        <f>Split!J18</f>
        <v>-0.24937508055334259</v>
      </c>
      <c r="K32" s="5">
        <f>Split!K18</f>
        <v>-0.1970288105741636</v>
      </c>
    </row>
    <row r="33" spans="1:11" ht="12.5" x14ac:dyDescent="0.25">
      <c r="A33" s="5">
        <v>5</v>
      </c>
      <c r="B33" s="5">
        <f>Split!B19</f>
        <v>0.3589394124422991</v>
      </c>
      <c r="C33" s="5">
        <f>Split!C19</f>
        <v>0.40932067017593915</v>
      </c>
      <c r="D33" s="5">
        <f>Split!D19</f>
        <v>0.460940243794354</v>
      </c>
      <c r="E33" s="5">
        <f>Split!E19</f>
        <v>0.51251710900326775</v>
      </c>
      <c r="F33" s="5">
        <f>Split!F19</f>
        <v>0.57559016859776868</v>
      </c>
      <c r="G33" s="5">
        <f>Split!G19</f>
        <v>0.39241245528243773</v>
      </c>
      <c r="H33" s="5">
        <f>Split!H19</f>
        <v>0.28663571688628381</v>
      </c>
      <c r="I33" s="5">
        <f>Split!I19</f>
        <v>0.14432836838077112</v>
      </c>
      <c r="J33" s="5">
        <f>Split!J19</f>
        <v>2.5308523040868145E-2</v>
      </c>
      <c r="K33" s="5">
        <f>Split!K19</f>
        <v>8.1449707945275923E-2</v>
      </c>
    </row>
    <row r="34" spans="1:11" ht="12.5" x14ac:dyDescent="0.25">
      <c r="A34" s="5">
        <v>6</v>
      </c>
      <c r="B34" s="5">
        <f>Split!B20</f>
        <v>-0.21863675917925615</v>
      </c>
      <c r="C34" s="5">
        <f>Split!C20</f>
        <v>-0.13667841243230397</v>
      </c>
      <c r="D34" s="5">
        <f>Split!D20</f>
        <v>-4.9559710729696275E-2</v>
      </c>
      <c r="E34" s="5">
        <f>Split!E20</f>
        <v>4.3986900993555816E-2</v>
      </c>
      <c r="F34" s="5">
        <f>Split!F20</f>
        <v>0.10792266460833713</v>
      </c>
      <c r="G34" s="5">
        <f>Split!G20</f>
        <v>-0.21284771451731427</v>
      </c>
      <c r="H34" s="5">
        <f>Split!H20</f>
        <v>-0.27157480502428616</v>
      </c>
      <c r="I34" s="5">
        <f>Split!I20</f>
        <v>-0.3400132806089356</v>
      </c>
      <c r="J34" s="5">
        <f>Split!J20</f>
        <v>-0.38104299284808757</v>
      </c>
      <c r="K34" s="5">
        <f>Split!K20</f>
        <v>-0.35054034044008009</v>
      </c>
    </row>
    <row r="35" spans="1:11" ht="12.5" x14ac:dyDescent="0.25">
      <c r="A35" s="5">
        <v>7</v>
      </c>
      <c r="B35" s="5">
        <f>Split!B21</f>
        <v>-0.1554853799924491</v>
      </c>
      <c r="C35" s="5">
        <f>Split!C21</f>
        <v>-7.4766650789560851E-2</v>
      </c>
      <c r="D35" s="5">
        <f>Split!D21</f>
        <v>1.0511467456082583E-2</v>
      </c>
      <c r="E35" s="5">
        <f>Split!E21</f>
        <v>9.9964621687930175E-2</v>
      </c>
      <c r="F35" s="5">
        <f>Split!F21</f>
        <v>0.1876912392044838</v>
      </c>
      <c r="G35" s="5">
        <f>Split!G21</f>
        <v>-9.0500880901835695E-2</v>
      </c>
      <c r="H35" s="5">
        <f>Split!H21</f>
        <v>-0.37191909208726709</v>
      </c>
      <c r="I35" s="5">
        <f>Split!I21</f>
        <v>-0.43092981848423528</v>
      </c>
      <c r="J35" s="5">
        <f>Split!J21</f>
        <v>-0.46630747852717758</v>
      </c>
      <c r="K35" s="5">
        <f>Split!K21</f>
        <v>-0.44000672211415065</v>
      </c>
    </row>
    <row r="36" spans="1:11" ht="12.5" x14ac:dyDescent="0.25">
      <c r="A36" s="5">
        <v>8</v>
      </c>
      <c r="B36" s="5">
        <f>Split!B22</f>
        <v>1.9285099723172255E-2</v>
      </c>
      <c r="C36" s="5">
        <f>Split!C22</f>
        <v>8.6887860476253229E-2</v>
      </c>
      <c r="D36" s="5">
        <f>Split!D22</f>
        <v>0.15656746918613532</v>
      </c>
      <c r="E36" s="5">
        <f>Split!E22</f>
        <v>0.22831820480547502</v>
      </c>
      <c r="F36" s="5">
        <f>Split!F22</f>
        <v>0.3255333973851649</v>
      </c>
      <c r="G36" s="5">
        <f>Split!G22</f>
        <v>0.21152959698650559</v>
      </c>
      <c r="H36" s="5">
        <f>Split!H22</f>
        <v>-8.7582327609523197E-2</v>
      </c>
      <c r="I36" s="5">
        <f>Split!I22</f>
        <v>-0.4053995744566174</v>
      </c>
      <c r="J36" s="5">
        <f>Split!J22</f>
        <v>-0.48948762316092631</v>
      </c>
      <c r="K36" s="5">
        <f>Split!K22</f>
        <v>-0.39405762114832721</v>
      </c>
    </row>
    <row r="37" spans="1:11" ht="12.5" x14ac:dyDescent="0.25">
      <c r="A37" s="5">
        <v>9</v>
      </c>
      <c r="B37" s="5">
        <f>Split!B23</f>
        <v>0.18462902498065631</v>
      </c>
      <c r="C37" s="5">
        <f>Split!C23</f>
        <v>0.24214017052931303</v>
      </c>
      <c r="D37" s="5">
        <f>Split!D23</f>
        <v>0.30150334319286637</v>
      </c>
      <c r="E37" s="5">
        <f>Split!E23</f>
        <v>0.36334825237219065</v>
      </c>
      <c r="F37" s="5">
        <f>Split!F23</f>
        <v>0.44337460889206304</v>
      </c>
      <c r="G37" s="5">
        <f>Split!G23</f>
        <v>0.3995541673365518</v>
      </c>
      <c r="H37" s="5">
        <f>Split!H23</f>
        <v>0.21532327264714252</v>
      </c>
      <c r="I37" s="5">
        <f>Split!I23</f>
        <v>-9.3659752356483592E-2</v>
      </c>
      <c r="J37" s="5">
        <f>Split!J23</f>
        <v>-0.17830123379648949</v>
      </c>
      <c r="K37" s="5">
        <f>Split!K23</f>
        <v>-0.10019887561319057</v>
      </c>
    </row>
    <row r="38" spans="1:11" ht="12.5" x14ac:dyDescent="0.25">
      <c r="A38" s="5">
        <v>10</v>
      </c>
      <c r="B38" s="5">
        <f>Split!B24</f>
        <v>0.63998657521683877</v>
      </c>
      <c r="C38" s="5">
        <f>Split!C24</f>
        <v>0.65027209425148136</v>
      </c>
      <c r="D38" s="5">
        <f>Split!D24</f>
        <v>0.66104996194807186</v>
      </c>
      <c r="E38" s="5">
        <f>Split!E24</f>
        <v>0.67035969063279999</v>
      </c>
      <c r="F38" s="5">
        <f>Split!F24</f>
        <v>0.70395857017134467</v>
      </c>
      <c r="G38" s="5">
        <f>Split!G24</f>
        <v>0.77322722653717491</v>
      </c>
      <c r="H38" s="5">
        <f>Split!H24</f>
        <v>0.79181515955189841</v>
      </c>
      <c r="I38" s="5">
        <f>Split!I24</f>
        <v>0.75835687080859615</v>
      </c>
      <c r="J38" s="5">
        <f>Split!J24</f>
        <v>0.55453756646817121</v>
      </c>
      <c r="K38" s="5">
        <f>Split!K24</f>
        <v>0.65547032314990239</v>
      </c>
    </row>
    <row r="39" spans="1:11" ht="12.5" x14ac:dyDescent="0.25">
      <c r="A39" s="5" t="s">
        <v>2</v>
      </c>
      <c r="B39" s="5">
        <f>Split!B25</f>
        <v>0.47064092333946894</v>
      </c>
      <c r="C39" s="5">
        <f>Split!C25</f>
        <v>0.51779525312221664</v>
      </c>
      <c r="D39" s="5">
        <f>Split!D25</f>
        <v>0.56604055041797596</v>
      </c>
      <c r="E39" s="5">
        <f>Split!E25</f>
        <v>0.61469901790902803</v>
      </c>
      <c r="F39" s="5">
        <f>Split!F25</f>
        <v>0.66738009490756955</v>
      </c>
      <c r="G39" s="5">
        <f>Split!G25</f>
        <v>0.46288894886429088</v>
      </c>
      <c r="H39" s="5">
        <f>Split!H25</f>
        <v>0.35069259087031512</v>
      </c>
      <c r="I39" s="5">
        <f>Split!I25</f>
        <v>0.22778342315245478</v>
      </c>
      <c r="J39" s="5">
        <f>Split!J25</f>
        <v>0.17968872741114625</v>
      </c>
      <c r="K39" s="5">
        <f>Split!K25</f>
        <v>0.10906077977909699</v>
      </c>
    </row>
  </sheetData>
  <hyperlinks>
    <hyperlink ref="B1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K45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.75" customHeight="1" x14ac:dyDescent="0.25"/>
  <cols>
    <col min="1" max="1" width="14.7265625" customWidth="1"/>
  </cols>
  <sheetData>
    <row r="1" spans="1:11" ht="15.75" customHeight="1" x14ac:dyDescent="0.25">
      <c r="A1" s="5" t="s">
        <v>15</v>
      </c>
      <c r="B1" s="10" t="s">
        <v>16</v>
      </c>
      <c r="C1" s="5"/>
      <c r="D1" s="5"/>
      <c r="E1" s="5"/>
      <c r="F1" s="5"/>
      <c r="G1" s="5"/>
      <c r="H1" s="5"/>
      <c r="I1" s="5"/>
      <c r="J1" s="5"/>
      <c r="K1" s="5"/>
    </row>
    <row r="2" spans="1:11" ht="15.75" customHeight="1" x14ac:dyDescent="0.25">
      <c r="A2" s="5"/>
      <c r="B2" s="5">
        <v>2</v>
      </c>
      <c r="C2" s="5">
        <v>3</v>
      </c>
      <c r="D2" s="5">
        <v>4</v>
      </c>
      <c r="E2" s="5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 t="s">
        <v>2</v>
      </c>
    </row>
    <row r="3" spans="1:11" ht="15.75" customHeight="1" x14ac:dyDescent="0.25">
      <c r="A3" s="5" t="s">
        <v>1</v>
      </c>
    </row>
    <row r="4" spans="1:11" ht="15.75" customHeight="1" x14ac:dyDescent="0.25">
      <c r="A4" s="5">
        <v>5</v>
      </c>
      <c r="B4" s="11">
        <f>Probability!B4*'Expected Return'!B4</f>
        <v>-1.1671876837846833E-4</v>
      </c>
      <c r="C4" s="11">
        <f>Probability!C4*'Expected Return'!C4</f>
        <v>-8.6763975659071352E-5</v>
      </c>
      <c r="D4" s="11">
        <f>Probability!D4*'Expected Return'!D4</f>
        <v>-5.5966740281924661E-5</v>
      </c>
      <c r="E4" s="11">
        <f>Probability!E4*'Expected Return'!E4</f>
        <v>-2.1828830579753865E-5</v>
      </c>
      <c r="F4" s="11">
        <f>Probability!F4*'Expected Return'!F4</f>
        <v>-1.0799616189714072E-6</v>
      </c>
      <c r="G4" s="11">
        <f>Probability!G4*'Expected Return'!G4</f>
        <v>-1.087368610688653E-4</v>
      </c>
      <c r="H4" s="11">
        <f>Probability!H4*'Expected Return'!H4</f>
        <v>-1.7122740455456095E-4</v>
      </c>
      <c r="I4" s="11">
        <f>Probability!I4*'Expected Return'!I4</f>
        <v>-2.4270828708052716E-4</v>
      </c>
      <c r="J4" s="11">
        <f>Probability!J4*'Expected Return'!J4</f>
        <v>-1.0534476300912861E-3</v>
      </c>
      <c r="K4" s="11">
        <f>Probability!K4*'Expected Return'!K4</f>
        <v>-1.7556607807614418E-4</v>
      </c>
    </row>
    <row r="5" spans="1:11" ht="15.75" customHeight="1" x14ac:dyDescent="0.25">
      <c r="A5" s="5">
        <v>6</v>
      </c>
      <c r="B5" s="11">
        <f>Probability!B5*'Expected Return'!B5</f>
        <v>-1.2813756710060981E-4</v>
      </c>
      <c r="C5" s="11">
        <f>Probability!C5*'Expected Return'!C5</f>
        <v>-9.7670530731550632E-5</v>
      </c>
      <c r="D5" s="11">
        <f>Probability!D5*'Expected Return'!D5</f>
        <v>-6.6378827425022575E-5</v>
      </c>
      <c r="E5" s="11">
        <f>Probability!E5*'Expected Return'!E5</f>
        <v>-3.1785137305509493E-5</v>
      </c>
      <c r="F5" s="11">
        <f>Probability!F5*'Expected Return'!F5</f>
        <v>-1.1839631797791719E-5</v>
      </c>
      <c r="G5" s="11">
        <f>Probability!G5*'Expected Return'!G5</f>
        <v>-1.3830924646035452E-4</v>
      </c>
      <c r="H5" s="11">
        <f>Probability!H5*'Expected Return'!H5</f>
        <v>-1.9776229523967663E-4</v>
      </c>
      <c r="I5" s="11">
        <f>Probability!I5*'Expected Return'!I5</f>
        <v>-2.6640027327967772E-4</v>
      </c>
      <c r="J5" s="11">
        <f>Probability!J5*'Expected Return'!J5</f>
        <v>-1.1352524868291438E-3</v>
      </c>
      <c r="K5" s="11">
        <f>Probability!K5*'Expected Return'!K5</f>
        <v>-1.9168234156936341E-4</v>
      </c>
    </row>
    <row r="6" spans="1:11" ht="15.75" customHeight="1" x14ac:dyDescent="0.25">
      <c r="A6" s="5">
        <v>7</v>
      </c>
      <c r="B6" s="11">
        <f>Probability!B6*'Expected Return'!B6</f>
        <v>-1.9878639575169111E-4</v>
      </c>
      <c r="C6" s="11">
        <f>Probability!C6*'Expected Return'!C6</f>
        <v>-1.3943191971682042E-4</v>
      </c>
      <c r="D6" s="11">
        <f>Probability!D6*'Expected Return'!D6</f>
        <v>-7.8328254900941052E-5</v>
      </c>
      <c r="E6" s="11">
        <f>Probability!E6*'Expected Return'!E6</f>
        <v>-1.3238708972127236E-5</v>
      </c>
      <c r="F6" s="11">
        <f>Probability!F6*'Expected Return'!F6</f>
        <v>5.313671798609188E-5</v>
      </c>
      <c r="G6" s="11">
        <f>Probability!G6*'Expected Return'!G6</f>
        <v>-1.2527592094752437E-4</v>
      </c>
      <c r="H6" s="11">
        <f>Probability!H6*'Expected Return'!H6</f>
        <v>-3.8344063491005858E-4</v>
      </c>
      <c r="I6" s="11">
        <f>Probability!I6*'Expected Return'!I6</f>
        <v>-5.1955473916591097E-4</v>
      </c>
      <c r="J6" s="11">
        <f>Probability!J6*'Expected Return'!J6</f>
        <v>-2.1448310615342944E-3</v>
      </c>
      <c r="K6" s="11">
        <f>Probability!K6*'Expected Return'!K6</f>
        <v>-3.9083293343856763E-4</v>
      </c>
    </row>
    <row r="7" spans="1:11" ht="15.75" customHeight="1" x14ac:dyDescent="0.25">
      <c r="A7" s="5">
        <v>8</v>
      </c>
      <c r="B7" s="11">
        <f>Probability!B7*'Expected Return'!B7</f>
        <v>-3.9687187999646186E-5</v>
      </c>
      <c r="C7" s="11">
        <f>Probability!C7*'Expected Return'!C7</f>
        <v>1.4574897643431343E-5</v>
      </c>
      <c r="D7" s="11">
        <f>Probability!D7*'Expected Return'!D7</f>
        <v>7.0613515297603669E-5</v>
      </c>
      <c r="E7" s="11">
        <f>Probability!E7*'Expected Return'!E7</f>
        <v>1.2891149018303836E-4</v>
      </c>
      <c r="F7" s="11">
        <f>Probability!F7*'Expected Return'!F7</f>
        <v>2.0930386908734331E-4</v>
      </c>
      <c r="G7" s="11">
        <f>Probability!G7*'Expected Return'!G7</f>
        <v>1.4967216998405618E-4</v>
      </c>
      <c r="H7" s="11">
        <f>Probability!H7*'Expected Return'!H7</f>
        <v>-1.0905466665208249E-4</v>
      </c>
      <c r="I7" s="11">
        <f>Probability!I7*'Expected Return'!I7</f>
        <v>-3.8267880199948588E-4</v>
      </c>
      <c r="J7" s="11">
        <f>Probability!J7*'Expected Return'!J7</f>
        <v>-1.6764124318560899E-3</v>
      </c>
      <c r="K7" s="11">
        <f>Probability!K7*'Expected Return'!K7</f>
        <v>-2.4834694795945132E-4</v>
      </c>
    </row>
    <row r="8" spans="1:11" ht="15.75" customHeight="1" x14ac:dyDescent="0.25">
      <c r="A8" s="5">
        <v>9</v>
      </c>
      <c r="B8" s="11">
        <f>Probability!B8*'Expected Return'!B8</f>
        <v>2.0331189142377932E-4</v>
      </c>
      <c r="C8" s="11">
        <f>Probability!C8*'Expected Return'!C8</f>
        <v>3.2994907600363173E-4</v>
      </c>
      <c r="D8" s="11">
        <f>Probability!D8*'Expected Return'!D8</f>
        <v>4.9690195917821115E-4</v>
      </c>
      <c r="E8" s="11">
        <f>Probability!E8*'Expected Return'!E8</f>
        <v>6.6378850670833773E-4</v>
      </c>
      <c r="F8" s="11">
        <f>Probability!F8*'Expected Return'!F8</f>
        <v>8.6587550032316896E-4</v>
      </c>
      <c r="G8" s="11">
        <f>Probability!G8*'Expected Return'!G8</f>
        <v>4.693705778888102E-4</v>
      </c>
      <c r="H8" s="11">
        <f>Probability!H8*'Expected Return'!H8</f>
        <v>2.6866513637339794E-4</v>
      </c>
      <c r="I8" s="11">
        <f>Probability!I8*'Expected Return'!I8</f>
        <v>-1.4249809775872111E-4</v>
      </c>
      <c r="J8" s="11">
        <f>Probability!J8*'Expected Return'!J8</f>
        <v>-1.5423290376342083E-3</v>
      </c>
      <c r="K8" s="11">
        <f>Probability!K8*'Expected Return'!K8</f>
        <v>-1.2418199831993189E-4</v>
      </c>
    </row>
    <row r="9" spans="1:11" ht="15.75" customHeight="1" x14ac:dyDescent="0.25">
      <c r="A9" s="5">
        <v>10</v>
      </c>
      <c r="B9" s="11">
        <f>Probability!B9*'Expected Return'!B9</f>
        <v>9.8026239174046187E-4</v>
      </c>
      <c r="C9" s="11">
        <f>Probability!C9*'Expected Return'!C9</f>
        <v>1.1178534460881361E-3</v>
      </c>
      <c r="D9" s="11">
        <f>Probability!D9*'Expected Return'!D9</f>
        <v>1.2588263371716541E-3</v>
      </c>
      <c r="E9" s="11">
        <f>Probability!E9*'Expected Return'!E9</f>
        <v>1.3996825917249006E-3</v>
      </c>
      <c r="F9" s="11">
        <f>Probability!F9*'Expected Return'!F9</f>
        <v>1.5719349165164371E-3</v>
      </c>
      <c r="G9" s="11">
        <f>Probability!G9*'Expected Return'!G9</f>
        <v>1.0716771650863116E-3</v>
      </c>
      <c r="H9" s="11">
        <f>Probability!H9*'Expected Return'!H9</f>
        <v>7.8280122954833993E-4</v>
      </c>
      <c r="I9" s="11">
        <f>Probability!I9*'Expected Return'!I9</f>
        <v>3.9416031419418603E-4</v>
      </c>
      <c r="J9" s="11">
        <f>Probability!J9*'Expected Return'!J9</f>
        <v>2.5520306136935075E-4</v>
      </c>
      <c r="K9" s="11">
        <f>Probability!K9*'Expected Return'!K9</f>
        <v>1.5399615661373551E-4</v>
      </c>
    </row>
    <row r="10" spans="1:11" ht="15.75" customHeight="1" x14ac:dyDescent="0.25">
      <c r="A10" s="5">
        <v>11</v>
      </c>
      <c r="B10" s="11">
        <f>Probability!B10*'Expected Return'!B10</f>
        <v>1.7137584828018897E-3</v>
      </c>
      <c r="C10" s="11">
        <f>Probability!C10*'Expected Return'!C10</f>
        <v>1.885462915328964E-3</v>
      </c>
      <c r="D10" s="11">
        <f>Probability!D10*'Expected Return'!D10</f>
        <v>2.0611399195920844E-3</v>
      </c>
      <c r="E10" s="11">
        <f>Probability!E10*'Expected Return'!E10</f>
        <v>2.2383214125044266E-3</v>
      </c>
      <c r="F10" s="11">
        <f>Probability!F10*'Expected Return'!F10</f>
        <v>2.4301505504144552E-3</v>
      </c>
      <c r="G10" s="11">
        <f>Probability!G10*'Expected Return'!G10</f>
        <v>1.6855309926783468E-3</v>
      </c>
      <c r="H10" s="11">
        <f>Probability!H10*'Expected Return'!H10</f>
        <v>1.2769871310707877E-3</v>
      </c>
      <c r="I10" s="11">
        <f>Probability!I10*'Expected Return'!I10</f>
        <v>8.2943440383233464E-4</v>
      </c>
      <c r="J10" s="11">
        <f>Probability!J10*'Expected Return'!J10</f>
        <v>2.4158982992850461E-3</v>
      </c>
      <c r="K10" s="11">
        <f>Probability!K10*'Expected Return'!K10</f>
        <v>3.6049481165330955E-4</v>
      </c>
    </row>
    <row r="11" spans="1:11" ht="15.75" customHeight="1" x14ac:dyDescent="0.25">
      <c r="A11" s="5">
        <v>12</v>
      </c>
      <c r="B11" s="11">
        <f>Probability!B11*'Expected Return'!B11</f>
        <v>-1.6146835701105749E-3</v>
      </c>
      <c r="C11" s="11">
        <f>Probability!C11*'Expected Return'!C11</f>
        <v>-1.4891545731330054E-3</v>
      </c>
      <c r="D11" s="11">
        <f>Probability!D11*'Expected Return'!D11</f>
        <v>-1.3449629157618577E-3</v>
      </c>
      <c r="E11" s="11">
        <f>Probability!E11*'Expected Return'!E11</f>
        <v>-1.0654061227567835E-3</v>
      </c>
      <c r="F11" s="11">
        <f>Probability!F11*'Expected Return'!F11</f>
        <v>-9.7942021921714221E-4</v>
      </c>
      <c r="G11" s="11">
        <f>Probability!G11*'Expected Return'!G11</f>
        <v>-1.3563350037516613E-3</v>
      </c>
      <c r="H11" s="11">
        <f>Probability!H11*'Expected Return'!H11</f>
        <v>-1.7305631635594022E-3</v>
      </c>
      <c r="I11" s="11">
        <f>Probability!I11*'Expected Return'!I11</f>
        <v>-2.1666754340123346E-3</v>
      </c>
      <c r="J11" s="11">
        <f>Probability!J11*'Expected Return'!J11</f>
        <v>-8.9654035640879121E-3</v>
      </c>
      <c r="K11" s="11">
        <f>Probability!K11*'Expected Return'!K11</f>
        <v>-1.5464473546251917E-3</v>
      </c>
    </row>
    <row r="12" spans="1:11" ht="15.75" customHeight="1" x14ac:dyDescent="0.25">
      <c r="A12" s="5">
        <v>13</v>
      </c>
      <c r="B12" s="11">
        <f>Probability!B12*'Expected Return'!B12</f>
        <v>-1.8657133276877022E-3</v>
      </c>
      <c r="C12" s="11">
        <f>Probability!C12*'Expected Return'!C12</f>
        <v>-1.6074206687755983E-3</v>
      </c>
      <c r="D12" s="11">
        <f>Probability!D12*'Expected Return'!D12</f>
        <v>-1.3449629157618577E-3</v>
      </c>
      <c r="E12" s="11">
        <f>Probability!E12*'Expected Return'!E12</f>
        <v>-1.0654061227567835E-3</v>
      </c>
      <c r="F12" s="11">
        <f>Probability!F12*'Expected Return'!F12</f>
        <v>-9.7942021921714221E-4</v>
      </c>
      <c r="G12" s="11">
        <f>Probability!G12*'Expected Return'!G12</f>
        <v>-1.7146200676946225E-3</v>
      </c>
      <c r="H12" s="11">
        <f>Probability!H12*'Expected Return'!H12</f>
        <v>-2.062117644658953E-3</v>
      </c>
      <c r="I12" s="11">
        <f>Probability!I12*'Expected Return'!I12</f>
        <v>-2.4670790386509618E-3</v>
      </c>
      <c r="J12" s="11">
        <f>Probability!J12*'Expected Return'!J12</f>
        <v>-1.0005631019124214E-2</v>
      </c>
      <c r="K12" s="11">
        <f>Probability!K12*'Expected Return'!K12</f>
        <v>-1.751101846276019E-3</v>
      </c>
    </row>
    <row r="13" spans="1:11" ht="15.75" customHeight="1" x14ac:dyDescent="0.25">
      <c r="A13" s="5">
        <v>14</v>
      </c>
      <c r="B13" s="11">
        <f>Probability!B13*'Expected Return'!B13</f>
        <v>-1.5991828523037447E-3</v>
      </c>
      <c r="C13" s="11">
        <f>Probability!C13*'Expected Return'!C13</f>
        <v>-1.3777891446647983E-3</v>
      </c>
      <c r="D13" s="11">
        <f>Probability!D13*'Expected Return'!D13</f>
        <v>-1.1528253563673067E-3</v>
      </c>
      <c r="E13" s="11">
        <f>Probability!E13*'Expected Return'!E13</f>
        <v>-9.1320524807724304E-4</v>
      </c>
      <c r="F13" s="11">
        <f>Probability!F13*'Expected Return'!F13</f>
        <v>-8.3950304504326482E-4</v>
      </c>
      <c r="G13" s="11">
        <f>Probability!G13*'Expected Return'!G13</f>
        <v>-1.7548400068765229E-3</v>
      </c>
      <c r="H13" s="11">
        <f>Probability!H13*'Expected Return'!H13</f>
        <v>-2.0314197109909901E-3</v>
      </c>
      <c r="I13" s="11">
        <f>Probability!I13*'Expected Return'!I13</f>
        <v>-2.3537359225356503E-3</v>
      </c>
      <c r="J13" s="11">
        <f>Probability!J13*'Expected Return'!J13</f>
        <v>-9.4041912969312809E-3</v>
      </c>
      <c r="K13" s="11">
        <f>Probability!K13*'Expected Return'!K13</f>
        <v>-1.6638327085301029E-3</v>
      </c>
    </row>
    <row r="14" spans="1:11" ht="15.75" customHeight="1" x14ac:dyDescent="0.25">
      <c r="A14" s="5">
        <v>15</v>
      </c>
      <c r="B14" s="11">
        <f>Probability!B14*'Expected Return'!B14</f>
        <v>-1.5991828523037447E-3</v>
      </c>
      <c r="C14" s="11">
        <f>Probability!C14*'Expected Return'!C14</f>
        <v>-1.3777891446647983E-3</v>
      </c>
      <c r="D14" s="11">
        <f>Probability!D14*'Expected Return'!D14</f>
        <v>-1.1528253563673067E-3</v>
      </c>
      <c r="E14" s="11">
        <f>Probability!E14*'Expected Return'!E14</f>
        <v>-9.1320524807724304E-4</v>
      </c>
      <c r="F14" s="11">
        <f>Probability!F14*'Expected Return'!F14</f>
        <v>-8.3950304504326482E-4</v>
      </c>
      <c r="G14" s="11">
        <f>Probability!G14*'Expected Return'!G14</f>
        <v>-2.0196366940763502E-3</v>
      </c>
      <c r="H14" s="11">
        <f>Probability!H14*'Expected Return'!H14</f>
        <v>-2.2764607050397836E-3</v>
      </c>
      <c r="I14" s="11">
        <f>Probability!I14*'Expected Return'!I14</f>
        <v>-2.5757543300455395E-3</v>
      </c>
      <c r="J14" s="11">
        <f>Probability!J14*'Expected Return'!J14</f>
        <v>-1.0172989139064524E-2</v>
      </c>
      <c r="K14" s="11">
        <f>Probability!K14*'Expected Return'!K14</f>
        <v>-1.8150861010475512E-3</v>
      </c>
    </row>
    <row r="15" spans="1:11" ht="15.75" customHeight="1" x14ac:dyDescent="0.25">
      <c r="A15" s="5">
        <v>16</v>
      </c>
      <c r="B15" s="11">
        <f>Probability!B15*'Expected Return'!B15</f>
        <v>-1.3326523769197874E-3</v>
      </c>
      <c r="C15" s="11">
        <f>Probability!C15*'Expected Return'!C15</f>
        <v>-1.1481576205539987E-3</v>
      </c>
      <c r="D15" s="11">
        <f>Probability!D15*'Expected Return'!D15</f>
        <v>-9.6068779697275558E-4</v>
      </c>
      <c r="E15" s="11">
        <f>Probability!E15*'Expected Return'!E15</f>
        <v>-7.6100437339770254E-4</v>
      </c>
      <c r="F15" s="11">
        <f>Probability!F15*'Expected Return'!F15</f>
        <v>-6.9958587086938742E-4</v>
      </c>
      <c r="G15" s="11">
        <f>Probability!G15*'Expected Return'!G15</f>
        <v>-1.887932776825396E-3</v>
      </c>
      <c r="H15" s="11">
        <f>Probability!H15*'Expected Return'!H15</f>
        <v>-2.0866656424518627E-3</v>
      </c>
      <c r="I15" s="11">
        <f>Probability!I15*'Expected Return'!I15</f>
        <v>-2.3182618998967928E-3</v>
      </c>
      <c r="J15" s="11">
        <f>Probability!J15*'Expected Return'!J15</f>
        <v>-9.0723940413473519E-3</v>
      </c>
      <c r="K15" s="11">
        <f>Probability!K15*'Expected Return'!K15</f>
        <v>-1.6296130665114611E-3</v>
      </c>
    </row>
    <row r="16" spans="1:11" ht="15.75" customHeight="1" x14ac:dyDescent="0.25">
      <c r="A16" s="5">
        <v>17</v>
      </c>
      <c r="B16" s="11">
        <f>Probability!B16*'Expected Return'!B16</f>
        <v>-6.9628851926054644E-4</v>
      </c>
      <c r="C16" s="11">
        <f>Probability!C16*'Expected Return'!C16</f>
        <v>-5.3352863643410867E-4</v>
      </c>
      <c r="D16" s="11">
        <f>Probability!D16*'Expected Return'!D16</f>
        <v>-3.66742708899937E-4</v>
      </c>
      <c r="E16" s="11">
        <f>Probability!E16*'Expected Return'!E16</f>
        <v>-2.0455792246210493E-4</v>
      </c>
      <c r="F16" s="11">
        <f>Probability!F16*'Expected Return'!F16</f>
        <v>5.3432683993363521E-5</v>
      </c>
      <c r="G16" s="11">
        <f>Probability!G16*'Expected Return'!G16</f>
        <v>-4.8615834994399044E-4</v>
      </c>
      <c r="H16" s="11">
        <f>Probability!H16*'Expected Return'!H16</f>
        <v>-1.7385114749587944E-3</v>
      </c>
      <c r="I16" s="11">
        <f>Probability!I16*'Expected Return'!I16</f>
        <v>-1.9260548003878814E-3</v>
      </c>
      <c r="J16" s="11">
        <f>Probability!J16*'Expected Return'!J16</f>
        <v>-7.053881316684764E-3</v>
      </c>
      <c r="K16" s="11">
        <f>Probability!K16*'Expected Return'!K16</f>
        <v>-1.5063552659054771E-3</v>
      </c>
    </row>
    <row r="17" spans="1:11" ht="15.75" customHeight="1" x14ac:dyDescent="0.25">
      <c r="A17" s="5">
        <v>18</v>
      </c>
      <c r="B17" s="11">
        <f>Probability!B17*'Expected Return'!B17</f>
        <v>4.4330232943427485E-4</v>
      </c>
      <c r="C17" s="11">
        <f>Probability!C17*'Expected Return'!C17</f>
        <v>5.4000936856189773E-4</v>
      </c>
      <c r="D17" s="11">
        <f>Probability!D17*'Expected Return'!D17</f>
        <v>6.4034387691392009E-4</v>
      </c>
      <c r="E17" s="11">
        <f>Probability!E17*'Expected Return'!E17</f>
        <v>7.266679835272725E-4</v>
      </c>
      <c r="F17" s="11">
        <f>Probability!F17*'Expected Return'!F17</f>
        <v>1.0321125755007692E-3</v>
      </c>
      <c r="G17" s="11">
        <f>Probability!G17*'Expected Return'!G17</f>
        <v>1.4549082106019185E-3</v>
      </c>
      <c r="H17" s="11">
        <f>Probability!H17*'Expected Return'!H17</f>
        <v>3.8580372733408683E-4</v>
      </c>
      <c r="I17" s="11">
        <f>Probability!I17*'Expected Return'!I17</f>
        <v>-6.6695805798246133E-4</v>
      </c>
      <c r="J17" s="11">
        <f>Probability!J17*'Expected Return'!J17</f>
        <v>-2.3972435761301066E-3</v>
      </c>
      <c r="K17" s="11">
        <f>Probability!K17*'Expected Return'!K17</f>
        <v>-2.5259336312278007E-4</v>
      </c>
    </row>
    <row r="18" spans="1:11" ht="15.75" customHeight="1" x14ac:dyDescent="0.25">
      <c r="A18" s="5">
        <v>19</v>
      </c>
      <c r="B18" s="11">
        <f>Probability!B18*'Expected Return'!B18</f>
        <v>1.4066624889234045E-3</v>
      </c>
      <c r="C18" s="11">
        <f>Probability!C18*'Expected Return'!C18</f>
        <v>1.4724185219763676E-3</v>
      </c>
      <c r="D18" s="11">
        <f>Probability!D18*'Expected Return'!D18</f>
        <v>1.5409337271825093E-3</v>
      </c>
      <c r="E18" s="11">
        <f>Probability!E18*'Expected Return'!E18</f>
        <v>1.6004082081415886E-3</v>
      </c>
      <c r="F18" s="11">
        <f>Probability!F18*'Expected Return'!F18</f>
        <v>1.8060157443325238E-3</v>
      </c>
      <c r="G18" s="11">
        <f>Probability!G18*'Expected Return'!G18</f>
        <v>2.2429731297348441E-3</v>
      </c>
      <c r="H18" s="11">
        <f>Probability!H18*'Expected Return'!H18</f>
        <v>2.1624166346352097E-3</v>
      </c>
      <c r="I18" s="11">
        <f>Probability!I18*'Expected Return'!I18</f>
        <v>1.0472344362952445E-3</v>
      </c>
      <c r="J18" s="11">
        <f>Probability!J18*'Expected Return'!J18</f>
        <v>8.4861790108759795E-4</v>
      </c>
      <c r="K18" s="11">
        <f>Probability!K18*'Expected Return'!K18</f>
        <v>6.9989748647882174E-4</v>
      </c>
    </row>
    <row r="19" spans="1:11" ht="15.75" customHeight="1" x14ac:dyDescent="0.25">
      <c r="A19" s="5" t="s">
        <v>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t="15.75" customHeight="1" x14ac:dyDescent="0.25">
      <c r="A20" s="5">
        <v>13</v>
      </c>
      <c r="B20" s="11">
        <f>Probability!B20*'Expected Return'!B20</f>
        <v>4.2454376600190788E-5</v>
      </c>
      <c r="C20" s="11">
        <f>Probability!C20*'Expected Return'!C20</f>
        <v>6.7472747740322317E-5</v>
      </c>
      <c r="D20" s="11">
        <f>Probability!D20*'Expected Return'!D20</f>
        <v>9.328825386621324E-5</v>
      </c>
      <c r="E20" s="11">
        <f>Probability!E20*'Expected Return'!E20</f>
        <v>1.2140440462741674E-4</v>
      </c>
      <c r="F20" s="11">
        <f>Probability!F20*'Expected Return'!F20</f>
        <v>1.6363059246965437E-4</v>
      </c>
      <c r="G20" s="11">
        <f>Probability!G20*'Expected Return'!G20</f>
        <v>1.114116478643532E-4</v>
      </c>
      <c r="H20" s="11">
        <f>Probability!H20*'Expected Return'!H20</f>
        <v>4.9209895490497323E-5</v>
      </c>
      <c r="I20" s="11">
        <f>Probability!I20*'Expected Return'!I20</f>
        <v>-3.4314691058242969E-5</v>
      </c>
      <c r="J20" s="11">
        <f>Probability!J20*'Expected Return'!J20</f>
        <v>-3.524292009034231E-4</v>
      </c>
      <c r="K20" s="11">
        <f>Probability!K20*'Expected Return'!K20</f>
        <v>-3.6117252197142422E-5</v>
      </c>
    </row>
    <row r="21" spans="1:11" ht="15.75" customHeight="1" x14ac:dyDescent="0.25">
      <c r="A21" s="5">
        <v>14</v>
      </c>
      <c r="B21" s="11">
        <f>Probability!B21*'Expected Return'!B21</f>
        <v>2.0384030029894478E-5</v>
      </c>
      <c r="C21" s="11">
        <f>Probability!C21*'Expected Return'!C21</f>
        <v>4.6251014036670753E-5</v>
      </c>
      <c r="D21" s="11">
        <f>Probability!D21*'Expected Return'!D21</f>
        <v>7.2900695776158622E-5</v>
      </c>
      <c r="E21" s="11">
        <f>Probability!E21*'Expected Return'!E21</f>
        <v>1.1466043263420962E-4</v>
      </c>
      <c r="F21" s="11">
        <f>Probability!F21*'Expected Return'!F21</f>
        <v>1.6363059246965437E-4</v>
      </c>
      <c r="G21" s="11">
        <f>Probability!G21*'Expected Return'!G21</f>
        <v>7.2378232584859498E-5</v>
      </c>
      <c r="H21" s="11">
        <f>Probability!H21*'Expected Return'!H21</f>
        <v>1.2086681350212528E-5</v>
      </c>
      <c r="I21" s="11">
        <f>Probability!I21*'Expected Return'!I21</f>
        <v>-6.8423476961023078E-5</v>
      </c>
      <c r="J21" s="11">
        <f>Probability!J21*'Expected Return'!J21</f>
        <v>-4.687794926243351E-4</v>
      </c>
      <c r="K21" s="11">
        <f>Probability!K21*'Expected Return'!K21</f>
        <v>-5.9162418886929097E-5</v>
      </c>
    </row>
    <row r="22" spans="1:11" ht="15.75" customHeight="1" x14ac:dyDescent="0.25">
      <c r="A22" s="5">
        <v>15</v>
      </c>
      <c r="B22" s="11">
        <f>Probability!B22*'Expected Return'!B22</f>
        <v>-1.0986321395208543E-7</v>
      </c>
      <c r="C22" s="11">
        <f>Probability!C22*'Expected Return'!C22</f>
        <v>2.6545118454708543E-5</v>
      </c>
      <c r="D22" s="11">
        <f>Probability!D22*'Expected Return'!D22</f>
        <v>5.3969391835393658E-5</v>
      </c>
      <c r="E22" s="11">
        <f>Probability!E22*'Expected Return'!E22</f>
        <v>1.1466043263420962E-4</v>
      </c>
      <c r="F22" s="11">
        <f>Probability!F22*'Expected Return'!F22</f>
        <v>1.6363059246965437E-4</v>
      </c>
      <c r="G22" s="11">
        <f>Probability!G22*'Expected Return'!G22</f>
        <v>3.3708040308847741E-5</v>
      </c>
      <c r="H22" s="11">
        <f>Probability!H22*'Expected Return'!H22</f>
        <v>-2.4628839784161731E-5</v>
      </c>
      <c r="I22" s="11">
        <f>Probability!I22*'Expected Return'!I22</f>
        <v>-1.02129056613512E-4</v>
      </c>
      <c r="J22" s="11">
        <f>Probability!J22*'Expected Return'!J22</f>
        <v>-5.838593225019333E-4</v>
      </c>
      <c r="K22" s="11">
        <f>Probability!K22*'Expected Return'!K22</f>
        <v>-8.1946606568813872E-5</v>
      </c>
    </row>
    <row r="23" spans="1:11" ht="12.5" x14ac:dyDescent="0.25">
      <c r="A23" s="5">
        <v>16</v>
      </c>
      <c r="B23" s="11">
        <f>Probability!B23*'Expected Return'!B23</f>
        <v>-1.9139906940381036E-5</v>
      </c>
      <c r="C23" s="11">
        <f>Probability!C23*'Expected Return'!C23</f>
        <v>8.2467868428865046E-6</v>
      </c>
      <c r="D23" s="11">
        <f>Probability!D23*'Expected Return'!D23</f>
        <v>5.31875455109194E-5</v>
      </c>
      <c r="E23" s="11">
        <f>Probability!E23*'Expected Return'!E23</f>
        <v>1.1466043263420962E-4</v>
      </c>
      <c r="F23" s="11">
        <f>Probability!F23*'Expected Return'!F23</f>
        <v>1.6363059246965431E-4</v>
      </c>
      <c r="G23" s="11">
        <f>Probability!G23*'Expected Return'!G23</f>
        <v>-4.4516678862229355E-6</v>
      </c>
      <c r="H23" s="11">
        <f>Probability!H23*'Expected Return'!H23</f>
        <v>-6.0805505616835772E-5</v>
      </c>
      <c r="I23" s="11">
        <f>Probability!I23*'Expected Return'!I23</f>
        <v>-1.3531500649073718E-4</v>
      </c>
      <c r="J23" s="11">
        <f>Probability!J23*'Expected Return'!J23</f>
        <v>-6.9725656114791085E-4</v>
      </c>
      <c r="K23" s="11">
        <f>Probability!K23*'Expected Return'!K23</f>
        <v>-1.0438952057714096E-4</v>
      </c>
    </row>
    <row r="24" spans="1:11" ht="12.5" x14ac:dyDescent="0.25">
      <c r="A24" s="5">
        <v>17</v>
      </c>
      <c r="B24" s="11">
        <f>Probability!B24*'Expected Return'!B24</f>
        <v>-4.4701282010844689E-7</v>
      </c>
      <c r="C24" s="11">
        <f>Probability!C24*'Expected Return'!C24</f>
        <v>5.0155015456803165E-5</v>
      </c>
      <c r="D24" s="11">
        <f>Probability!D24*'Expected Return'!D24</f>
        <v>1.0801324594841029E-4</v>
      </c>
      <c r="E24" s="11">
        <f>Probability!E24*'Expected Return'!E24</f>
        <v>1.6602472041288012E-4</v>
      </c>
      <c r="F24" s="11">
        <f>Probability!F24*'Expected Return'!F24</f>
        <v>2.3313999753390828E-4</v>
      </c>
      <c r="G24" s="11">
        <f>Probability!G24*'Expected Return'!G24</f>
        <v>4.8997235972796233E-5</v>
      </c>
      <c r="H24" s="11">
        <f>Probability!H24*'Expected Return'!H24</f>
        <v>-6.6377240536770208E-5</v>
      </c>
      <c r="I24" s="11">
        <f>Probability!I24*'Expected Return'!I24</f>
        <v>-1.3635584176798662E-4</v>
      </c>
      <c r="J24" s="11">
        <f>Probability!J24*'Expected Return'!J24</f>
        <v>-6.6171456596158867E-4</v>
      </c>
      <c r="K24" s="11">
        <f>Probability!K24*'Expected Return'!K24</f>
        <v>-1.1317001002288128E-4</v>
      </c>
    </row>
    <row r="25" spans="1:11" ht="12.5" x14ac:dyDescent="0.25">
      <c r="A25" s="5">
        <v>18</v>
      </c>
      <c r="B25" s="11">
        <f>Probability!B25*'Expected Return'!B25</f>
        <v>1.1082558235856871E-4</v>
      </c>
      <c r="C25" s="11">
        <f>Probability!C25*'Expected Return'!C25</f>
        <v>1.6171258596170917E-4</v>
      </c>
      <c r="D25" s="11">
        <f>Probability!D25*'Expected Return'!D25</f>
        <v>2.1575225102924141E-4</v>
      </c>
      <c r="E25" s="11">
        <f>Probability!E25*'Expected Return'!E25</f>
        <v>2.6875329597022131E-4</v>
      </c>
      <c r="F25" s="11">
        <f>Probability!F25*'Expected Return'!F25</f>
        <v>3.4729766233845577E-4</v>
      </c>
      <c r="G25" s="11">
        <f>Probability!G25*'Expected Return'!G25</f>
        <v>3.6372705265047962E-4</v>
      </c>
      <c r="H25" s="11">
        <f>Probability!H25*'Expected Return'!H25</f>
        <v>9.6450931833521708E-5</v>
      </c>
      <c r="I25" s="11">
        <f>Probability!I25*'Expected Return'!I25</f>
        <v>-9.1710794338111293E-5</v>
      </c>
      <c r="J25" s="11">
        <f>Probability!J25*'Expected Return'!J25</f>
        <v>-4.8337172454427865E-4</v>
      </c>
      <c r="K25" s="11">
        <f>Probability!K25*'Expected Return'!K25</f>
        <v>-5.8570738134067882E-5</v>
      </c>
    </row>
    <row r="26" spans="1:11" ht="12.5" x14ac:dyDescent="0.25">
      <c r="A26" s="5">
        <v>19</v>
      </c>
      <c r="B26" s="11">
        <f>Probability!B26*'Expected Return'!B26</f>
        <v>3.5166562223085113E-4</v>
      </c>
      <c r="C26" s="11">
        <f>Probability!C26*'Expected Return'!C26</f>
        <v>3.681046304940919E-4</v>
      </c>
      <c r="D26" s="11">
        <f>Probability!D26*'Expected Return'!D26</f>
        <v>3.8523343179562732E-4</v>
      </c>
      <c r="E26" s="11">
        <f>Probability!E26*'Expected Return'!E26</f>
        <v>4.0010205203539715E-4</v>
      </c>
      <c r="F26" s="11">
        <f>Probability!F26*'Expected Return'!F26</f>
        <v>4.5150393608313095E-4</v>
      </c>
      <c r="G26" s="11">
        <f>Probability!G26*'Expected Return'!G26</f>
        <v>5.6074328243371102E-4</v>
      </c>
      <c r="H26" s="11">
        <f>Probability!H26*'Expected Return'!H26</f>
        <v>5.4060415865880243E-4</v>
      </c>
      <c r="I26" s="11">
        <f>Probability!I26*'Expected Return'!I26</f>
        <v>2.6180860907381112E-4</v>
      </c>
      <c r="J26" s="11">
        <f>Probability!J26*'Expected Return'!J26</f>
        <v>2.1215447527189949E-4</v>
      </c>
      <c r="K26" s="11">
        <f>Probability!K26*'Expected Return'!K26</f>
        <v>1.7497437161970544E-4</v>
      </c>
    </row>
    <row r="27" spans="1:11" ht="12.5" x14ac:dyDescent="0.25">
      <c r="A27" s="5">
        <v>20</v>
      </c>
      <c r="B27" s="11">
        <f>Probability!B27*'Expected Return'!B27</f>
        <v>5.8260043260522428E-4</v>
      </c>
      <c r="C27" s="11">
        <f>Probability!C27*'Expected Return'!C27</f>
        <v>5.9196367250931401E-4</v>
      </c>
      <c r="D27" s="11">
        <f>Probability!D27*'Expected Return'!D27</f>
        <v>6.0177511328909602E-4</v>
      </c>
      <c r="E27" s="11">
        <f>Probability!E27*'Expected Return'!E27</f>
        <v>6.1025005974765594E-4</v>
      </c>
      <c r="F27" s="11">
        <f>Probability!F27*'Expected Return'!F27</f>
        <v>6.4083620407040943E-4</v>
      </c>
      <c r="G27" s="11">
        <f>Probability!G27*'Expected Return'!G27</f>
        <v>7.0389369734836138E-4</v>
      </c>
      <c r="H27" s="11">
        <f>Probability!H27*'Expected Return'!H27</f>
        <v>7.2081489262803688E-4</v>
      </c>
      <c r="I27" s="11">
        <f>Probability!I27*'Expected Return'!I27</f>
        <v>6.9035673264323735E-4</v>
      </c>
      <c r="J27" s="11">
        <f>Probability!J27*'Expected Return'!J27</f>
        <v>1.8639265565261877E-3</v>
      </c>
      <c r="K27" s="11">
        <f>Probability!K27*'Expected Return'!K27</f>
        <v>4.1309708402010589E-4</v>
      </c>
    </row>
    <row r="28" spans="1:11" ht="12.5" x14ac:dyDescent="0.25">
      <c r="A28" s="5">
        <v>21</v>
      </c>
      <c r="B28" s="11">
        <f>Probability!B28*'Expected Return'!B28</f>
        <v>5.461993627674102E-3</v>
      </c>
      <c r="C28" s="11">
        <f>Probability!C28*'Expected Return'!C28</f>
        <v>5.461993627674102E-3</v>
      </c>
      <c r="D28" s="11">
        <f>Probability!D28*'Expected Return'!D28</f>
        <v>5.461993627674102E-3</v>
      </c>
      <c r="E28" s="11">
        <f>Probability!E28*'Expected Return'!E28</f>
        <v>5.461993627674102E-3</v>
      </c>
      <c r="F28" s="11">
        <f>Probability!F28*'Expected Return'!F28</f>
        <v>5.461993627674102E-3</v>
      </c>
      <c r="G28" s="11">
        <f>Probability!G28*'Expected Return'!G28</f>
        <v>5.461993627674102E-3</v>
      </c>
      <c r="H28" s="11">
        <f>Probability!H28*'Expected Return'!H28</f>
        <v>5.461993627674102E-3</v>
      </c>
      <c r="I28" s="11">
        <f>Probability!I28*'Expected Return'!I28</f>
        <v>5.461993627674102E-3</v>
      </c>
      <c r="J28" s="11">
        <f>Probability!J28*'Expected Return'!J28</f>
        <v>2.0167361086796686E-2</v>
      </c>
      <c r="K28" s="11">
        <f>Probability!K28*'Expected Return'!K28</f>
        <v>3.781380203774378E-3</v>
      </c>
    </row>
    <row r="29" spans="1:11" ht="12.5" x14ac:dyDescent="0.25">
      <c r="A29" s="5" t="s">
        <v>19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1:11" ht="12.5" x14ac:dyDescent="0.25">
      <c r="A30" s="5">
        <v>2</v>
      </c>
      <c r="B30" s="11">
        <f>Probability!B30*'Expected Return'!B30</f>
        <v>-4.045846194679772E-5</v>
      </c>
      <c r="C30" s="11">
        <f>Probability!C30*'Expected Return'!C30</f>
        <v>-1.1659595120276021E-5</v>
      </c>
      <c r="D30" s="11">
        <f>Probability!D30*'Expected Return'!D30</f>
        <v>1.9547851419557993E-5</v>
      </c>
      <c r="E30" s="11">
        <f>Probability!E30*'Expected Return'!E30</f>
        <v>5.791981035431906E-5</v>
      </c>
      <c r="F30" s="11">
        <f>Probability!F30*'Expected Return'!F30</f>
        <v>8.8656621832404551E-5</v>
      </c>
      <c r="G30" s="11">
        <f>Probability!G30*'Expected Return'!G30</f>
        <v>-3.3679219356871479E-6</v>
      </c>
      <c r="H30" s="11">
        <f>Probability!H30*'Expected Return'!H30</f>
        <v>-7.2523510541741069E-5</v>
      </c>
      <c r="I30" s="11">
        <f>Probability!I30*'Expected Return'!I30</f>
        <v>-1.0954309474436299E-4</v>
      </c>
      <c r="J30" s="11">
        <f>Probability!J30*'Expected Return'!J30</f>
        <v>-4.8602989724842998E-4</v>
      </c>
      <c r="K30" s="11">
        <f>Probability!K30*'Expected Return'!K30</f>
        <v>-7.9748361389138283E-5</v>
      </c>
    </row>
    <row r="31" spans="1:11" ht="12.5" x14ac:dyDescent="0.25">
      <c r="A31" s="5">
        <v>3</v>
      </c>
      <c r="B31" s="11">
        <f>Probability!B31*'Expected Return'!B31</f>
        <v>-6.2887361426910044E-5</v>
      </c>
      <c r="C31" s="11">
        <f>Probability!C31*'Expected Return'!C31</f>
        <v>-2.9069838299598252E-5</v>
      </c>
      <c r="D31" s="11">
        <f>Probability!D31*'Expected Return'!D31</f>
        <v>6.6567466648279442E-6</v>
      </c>
      <c r="E31" s="11">
        <f>Probability!E31*'Expected Return'!E31</f>
        <v>4.6560194966196306E-5</v>
      </c>
      <c r="F31" s="11">
        <f>Probability!F31*'Expected Return'!F31</f>
        <v>7.7114348584900319E-5</v>
      </c>
      <c r="G31" s="11">
        <f>Probability!G31*'Expected Return'!G31</f>
        <v>-3.0842266191030265E-5</v>
      </c>
      <c r="H31" s="11">
        <f>Probability!H31*'Expected Return'!H31</f>
        <v>-9.8881147619838314E-5</v>
      </c>
      <c r="I31" s="11">
        <f>Probability!I31*'Expected Return'!I31</f>
        <v>-1.3320013663983889E-4</v>
      </c>
      <c r="J31" s="11">
        <f>Probability!J31*'Expected Return'!J31</f>
        <v>-5.6762624341457192E-4</v>
      </c>
      <c r="K31" s="11">
        <f>Probability!K31*'Expected Return'!K31</f>
        <v>-9.5841170784681718E-5</v>
      </c>
    </row>
    <row r="32" spans="1:11" ht="12.5" x14ac:dyDescent="0.25">
      <c r="A32" s="5">
        <v>4</v>
      </c>
      <c r="B32" s="11">
        <f>Probability!B32*'Expected Return'!B32</f>
        <v>-9.9217969999115483E-6</v>
      </c>
      <c r="C32" s="11">
        <f>Probability!C32*'Expected Return'!C32</f>
        <v>3.6437244108578362E-6</v>
      </c>
      <c r="D32" s="11">
        <f>Probability!D32*'Expected Return'!D32</f>
        <v>1.7653378824400917E-5</v>
      </c>
      <c r="E32" s="11">
        <f>Probability!E32*'Expected Return'!E32</f>
        <v>3.6531576189289646E-5</v>
      </c>
      <c r="F32" s="11">
        <f>Probability!F32*'Expected Return'!F32</f>
        <v>6.6434563003753679E-5</v>
      </c>
      <c r="G32" s="11">
        <f>Probability!G32*'Expected Return'!G32</f>
        <v>3.7418042496014052E-5</v>
      </c>
      <c r="H32" s="11">
        <f>Probability!H32*'Expected Return'!H32</f>
        <v>-2.7263666663020625E-5</v>
      </c>
      <c r="I32" s="11">
        <f>Probability!I32*'Expected Return'!I32</f>
        <v>-9.5669700499871483E-5</v>
      </c>
      <c r="J32" s="11">
        <f>Probability!J32*'Expected Return'!J32</f>
        <v>-4.1910310796402253E-4</v>
      </c>
      <c r="K32" s="11">
        <f>Probability!K32*'Expected Return'!K32</f>
        <v>-6.2086736989862843E-5</v>
      </c>
    </row>
    <row r="33" spans="1:11" ht="12.5" x14ac:dyDescent="0.25">
      <c r="A33" s="5">
        <v>5</v>
      </c>
      <c r="B33" s="11">
        <f>Probability!B33*'Expected Return'!B33</f>
        <v>1.6337706529007698E-4</v>
      </c>
      <c r="C33" s="11">
        <f>Probability!C33*'Expected Return'!C33</f>
        <v>1.8630890768135604E-4</v>
      </c>
      <c r="D33" s="11">
        <f>Probability!D33*'Expected Return'!D33</f>
        <v>2.0980438952860903E-4</v>
      </c>
      <c r="E33" s="11">
        <f>Probability!E33*'Expected Return'!E33</f>
        <v>2.3328043195415012E-4</v>
      </c>
      <c r="F33" s="11">
        <f>Probability!F33*'Expected Return'!F33</f>
        <v>2.6198915275273951E-4</v>
      </c>
      <c r="G33" s="11">
        <f>Probability!G33*'Expected Return'!G33</f>
        <v>1.7861286084771861E-4</v>
      </c>
      <c r="H33" s="11">
        <f>Probability!H33*'Expected Return'!H33</f>
        <v>1.3046687159139E-4</v>
      </c>
      <c r="I33" s="11">
        <f>Probability!I33*'Expected Return'!I33</f>
        <v>6.5693385699031018E-5</v>
      </c>
      <c r="J33" s="11">
        <f>Probability!J33*'Expected Return'!J33</f>
        <v>4.2533843561558463E-5</v>
      </c>
      <c r="K33" s="11">
        <f>Probability!K33*'Expected Return'!K33</f>
        <v>2.5666026102289253E-5</v>
      </c>
    </row>
    <row r="34" spans="1:11" ht="12.5" x14ac:dyDescent="0.25">
      <c r="A34" s="5">
        <v>6</v>
      </c>
      <c r="B34" s="11">
        <f>Probability!B34*'Expected Return'!B34</f>
        <v>-9.9516048784367863E-5</v>
      </c>
      <c r="C34" s="11">
        <f>Probability!C34*'Expected Return'!C34</f>
        <v>-6.2211384812154748E-5</v>
      </c>
      <c r="D34" s="11">
        <f>Probability!D34*'Expected Return'!D34</f>
        <v>-2.255790201624774E-5</v>
      </c>
      <c r="E34" s="11">
        <f>Probability!E34*'Expected Return'!E34</f>
        <v>2.0021347743994458E-5</v>
      </c>
      <c r="F34" s="11">
        <f>Probability!F34*'Expected Return'!F34</f>
        <v>4.9122742197695563E-5</v>
      </c>
      <c r="G34" s="11">
        <f>Probability!G34*'Expected Return'!G34</f>
        <v>-9.6881071696547241E-5</v>
      </c>
      <c r="H34" s="11">
        <f>Probability!H34*'Expected Return'!H34</f>
        <v>-1.2361165453995732E-4</v>
      </c>
      <c r="I34" s="11">
        <f>Probability!I34*'Expected Return'!I34</f>
        <v>-1.5476253100088104E-4</v>
      </c>
      <c r="J34" s="11">
        <f>Probability!J34*'Expected Return'!J34</f>
        <v>-6.4038596886342237E-4</v>
      </c>
      <c r="K34" s="11">
        <f>Probability!K34*'Expected Return'!K34</f>
        <v>-1.1046052533037082E-4</v>
      </c>
    </row>
    <row r="35" spans="1:11" ht="12.5" x14ac:dyDescent="0.25">
      <c r="A35" s="5">
        <v>7</v>
      </c>
      <c r="B35" s="11">
        <f>Probability!B35*'Expected Return'!B35</f>
        <v>-7.0771679559603607E-5</v>
      </c>
      <c r="C35" s="11">
        <f>Probability!C35*'Expected Return'!C35</f>
        <v>-3.4031247514593016E-5</v>
      </c>
      <c r="D35" s="11">
        <f>Probability!D35*'Expected Return'!D35</f>
        <v>4.784464021885564E-6</v>
      </c>
      <c r="E35" s="11">
        <f>Probability!E35*'Expected Return'!E35</f>
        <v>4.5500510554360577E-5</v>
      </c>
      <c r="F35" s="11">
        <f>Probability!F35*'Expected Return'!F35</f>
        <v>8.5430696042095502E-5</v>
      </c>
      <c r="G35" s="11">
        <f>Probability!G35*'Expected Return'!G35</f>
        <v>-4.1192936232059951E-5</v>
      </c>
      <c r="H35" s="11">
        <f>Probability!H35*'Expected Return'!H35</f>
        <v>-1.6928497591591586E-4</v>
      </c>
      <c r="I35" s="11">
        <f>Probability!I35*'Expected Return'!I35</f>
        <v>-1.961446602113042E-4</v>
      </c>
      <c r="J35" s="11">
        <f>Probability!J35*'Expected Return'!J35</f>
        <v>-7.8368260807760678E-4</v>
      </c>
      <c r="K35" s="11">
        <f>Probability!K35*'Expected Return'!K35</f>
        <v>-1.3865272571084194E-4</v>
      </c>
    </row>
    <row r="36" spans="1:11" ht="12.5" x14ac:dyDescent="0.25">
      <c r="A36" s="5">
        <v>8</v>
      </c>
      <c r="B36" s="11">
        <f>Probability!B36*'Expected Return'!B36</f>
        <v>8.7779243164188696E-6</v>
      </c>
      <c r="C36" s="11">
        <f>Probability!C36*'Expected Return'!C36</f>
        <v>3.9548411686960965E-5</v>
      </c>
      <c r="D36" s="11">
        <f>Probability!D36*'Expected Return'!D36</f>
        <v>7.1264209916311032E-5</v>
      </c>
      <c r="E36" s="11">
        <f>Probability!E36*'Expected Return'!E36</f>
        <v>1.0392271497745792E-4</v>
      </c>
      <c r="F36" s="11">
        <f>Probability!F36*'Expected Return'!F36</f>
        <v>1.4817177850940598E-4</v>
      </c>
      <c r="G36" s="11">
        <f>Probability!G36*'Expected Return'!G36</f>
        <v>9.628110923373036E-5</v>
      </c>
      <c r="H36" s="11">
        <f>Probability!H36*'Expected Return'!H36</f>
        <v>-3.9864509608340102E-5</v>
      </c>
      <c r="I36" s="11">
        <f>Probability!I36*'Expected Return'!I36</f>
        <v>-1.8452415769531973E-4</v>
      </c>
      <c r="J36" s="11">
        <f>Probability!J36*'Expected Return'!J36</f>
        <v>-8.226394703170221E-4</v>
      </c>
      <c r="K36" s="11">
        <f>Probability!K36*'Expected Return'!K36</f>
        <v>-1.2417347397972569E-4</v>
      </c>
    </row>
    <row r="37" spans="1:11" ht="12.5" x14ac:dyDescent="0.25">
      <c r="A37" s="5">
        <v>9</v>
      </c>
      <c r="B37" s="11">
        <f>Probability!B37*'Expected Return'!B37</f>
        <v>8.4036879827335614E-5</v>
      </c>
      <c r="C37" s="11">
        <f>Probability!C37*'Expected Return'!C37</f>
        <v>1.1021400570291901E-4</v>
      </c>
      <c r="D37" s="11">
        <f>Probability!D37*'Expected Return'!D37</f>
        <v>1.3723411160348949E-4</v>
      </c>
      <c r="E37" s="11">
        <f>Probability!E37*'Expected Return'!E37</f>
        <v>1.6538381992361889E-4</v>
      </c>
      <c r="F37" s="11">
        <f>Probability!F37*'Expected Return'!F37</f>
        <v>2.0180910737007879E-4</v>
      </c>
      <c r="G37" s="11">
        <f>Probability!G37*'Expected Return'!G37</f>
        <v>1.8186352632523981E-4</v>
      </c>
      <c r="H37" s="11">
        <f>Probability!H37*'Expected Return'!H37</f>
        <v>9.8007861924052136E-5</v>
      </c>
      <c r="I37" s="11">
        <f>Probability!I37*'Expected Return'!I37</f>
        <v>-4.2630747545053986E-5</v>
      </c>
      <c r="J37" s="11">
        <f>Probability!J37*'Expected Return'!J37</f>
        <v>-2.9965544701626332E-4</v>
      </c>
      <c r="K37" s="11">
        <f>Probability!K37*'Expected Return'!K37</f>
        <v>-3.1574170390347508E-5</v>
      </c>
    </row>
    <row r="38" spans="1:11" ht="12.5" x14ac:dyDescent="0.25">
      <c r="A38" s="5">
        <v>10</v>
      </c>
      <c r="B38" s="11">
        <f>Probability!B38*'Expected Return'!B38</f>
        <v>4.6608034608417942E-3</v>
      </c>
      <c r="C38" s="11">
        <f>Probability!C38*'Expected Return'!C38</f>
        <v>4.7357093800745121E-3</v>
      </c>
      <c r="D38" s="11">
        <f>Probability!D38*'Expected Return'!D38</f>
        <v>4.8142009063127681E-3</v>
      </c>
      <c r="E38" s="11">
        <f>Probability!E38*'Expected Return'!E38</f>
        <v>4.8820004779812475E-3</v>
      </c>
      <c r="F38" s="11">
        <f>Probability!F38*'Expected Return'!F38</f>
        <v>5.1266896325632754E-3</v>
      </c>
      <c r="G38" s="11">
        <f>Probability!G38*'Expected Return'!G38</f>
        <v>5.631149578786891E-3</v>
      </c>
      <c r="H38" s="11">
        <f>Probability!H38*'Expected Return'!H38</f>
        <v>5.766519141024295E-3</v>
      </c>
      <c r="I38" s="11">
        <f>Probability!I38*'Expected Return'!I38</f>
        <v>5.5228538611458988E-3</v>
      </c>
      <c r="J38" s="11">
        <f>Probability!J38*'Expected Return'!J38</f>
        <v>1.4911412452209501E-2</v>
      </c>
      <c r="K38" s="11">
        <f>Probability!K38*'Expected Return'!K38</f>
        <v>3.3047766721608471E-3</v>
      </c>
    </row>
    <row r="39" spans="1:11" ht="12.5" x14ac:dyDescent="0.25">
      <c r="A39" s="5" t="s">
        <v>2</v>
      </c>
      <c r="B39" s="11">
        <f>Probability!B39*'Expected Return'!B39</f>
        <v>2.1421981035023624E-4</v>
      </c>
      <c r="C39" s="11">
        <f>Probability!C39*'Expected Return'!C39</f>
        <v>2.3568286441612049E-4</v>
      </c>
      <c r="D39" s="11">
        <f>Probability!D39*'Expected Return'!D39</f>
        <v>2.5764248994901049E-4</v>
      </c>
      <c r="E39" s="11">
        <f>Probability!E39*'Expected Return'!E39</f>
        <v>2.7979017656305332E-4</v>
      </c>
      <c r="F39" s="11">
        <f>Probability!F39*'Expected Return'!F39</f>
        <v>3.0376881880180684E-4</v>
      </c>
      <c r="G39" s="11">
        <f>Probability!G39*'Expected Return'!G39</f>
        <v>2.1069137408479333E-4</v>
      </c>
      <c r="H39" s="11">
        <f>Probability!H39*'Expected Return'!H39</f>
        <v>1.5962339138384852E-4</v>
      </c>
      <c r="I39" s="11">
        <f>Probability!I39*'Expected Return'!I39</f>
        <v>1.0367930047904179E-4</v>
      </c>
      <c r="J39" s="11">
        <f>Probability!J39*'Expected Return'!J39</f>
        <v>3.0198728741063065E-4</v>
      </c>
      <c r="K39" s="11">
        <f>Probability!K39*'Expected Return'!K39</f>
        <v>3.4366689472072862E-5</v>
      </c>
    </row>
    <row r="40" spans="1:11" ht="12.5" x14ac:dyDescent="0.25">
      <c r="B40" s="5"/>
    </row>
    <row r="41" spans="1:11" ht="12.5" x14ac:dyDescent="0.25">
      <c r="A41" s="5"/>
      <c r="B41" s="5"/>
      <c r="C41" s="5" t="s">
        <v>27</v>
      </c>
    </row>
    <row r="42" spans="1:11" ht="12.5" x14ac:dyDescent="0.25">
      <c r="A42" s="5" t="s">
        <v>28</v>
      </c>
      <c r="B42" s="11">
        <f>SUM(B4:K39)</f>
        <v>3.9392580085240166E-2</v>
      </c>
      <c r="C42" s="11">
        <f>0.040248-B42</f>
        <v>8.5541991475983348E-4</v>
      </c>
    </row>
    <row r="43" spans="1:11" ht="12.5" x14ac:dyDescent="0.25">
      <c r="A43" s="5" t="s">
        <v>29</v>
      </c>
      <c r="B43" s="5">
        <f>B45*(1-B45)*-1</f>
        <v>-4.5096460207975919E-2</v>
      </c>
    </row>
    <row r="44" spans="1:11" ht="12.5" x14ac:dyDescent="0.25">
      <c r="A44" s="5" t="s">
        <v>12</v>
      </c>
      <c r="B44" s="11">
        <f>B42+B43</f>
        <v>-5.7038801227357536E-3</v>
      </c>
      <c r="C44" s="11">
        <f>B44+C42</f>
        <v>-4.8484602079759201E-3</v>
      </c>
    </row>
    <row r="45" spans="1:11" ht="12.5" x14ac:dyDescent="0.25">
      <c r="A45" s="5" t="s">
        <v>30</v>
      </c>
      <c r="B45" s="5">
        <f>2*(4/13)*(1/13)</f>
        <v>4.7337278106508882E-2</v>
      </c>
    </row>
  </sheetData>
  <hyperlinks>
    <hyperlink ref="B1" r:id="rId1" xr:uid="{00000000-0004-0000-0C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Strategy</vt:lpstr>
      <vt:lpstr>Dealer</vt:lpstr>
      <vt:lpstr>Hit</vt:lpstr>
      <vt:lpstr>Stand</vt:lpstr>
      <vt:lpstr>HS</vt:lpstr>
      <vt:lpstr>Double</vt:lpstr>
      <vt:lpstr>HSD</vt:lpstr>
      <vt:lpstr>Surrender</vt:lpstr>
      <vt:lpstr>HSDR</vt:lpstr>
      <vt:lpstr>Split</vt:lpstr>
      <vt:lpstr>Probability</vt:lpstr>
      <vt:lpstr>Expected Return</vt:lpstr>
      <vt:lpstr>Expected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Devin DuBois</cp:lastModifiedBy>
  <dcterms:modified xsi:type="dcterms:W3CDTF">2025-11-04T06:31:16Z</dcterms:modified>
</cp:coreProperties>
</file>