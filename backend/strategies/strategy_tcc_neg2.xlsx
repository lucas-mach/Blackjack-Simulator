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Dealer" sheetId="2" state="visible" r:id="rId2"/>
    <sheet xmlns:r="http://schemas.openxmlformats.org/officeDocument/2006/relationships" name="Hit" sheetId="3" state="visible" r:id="rId3"/>
    <sheet xmlns:r="http://schemas.openxmlformats.org/officeDocument/2006/relationships" name="Stand" sheetId="4" state="visible" r:id="rId4"/>
    <sheet xmlns:r="http://schemas.openxmlformats.org/officeDocument/2006/relationships" name="HS" sheetId="5" state="visible" r:id="rId5"/>
    <sheet xmlns:r="http://schemas.openxmlformats.org/officeDocument/2006/relationships" name="Double" sheetId="6" state="visible" r:id="rId6"/>
    <sheet xmlns:r="http://schemas.openxmlformats.org/officeDocument/2006/relationships" name="HSD" sheetId="7" state="visible" r:id="rId7"/>
    <sheet xmlns:r="http://schemas.openxmlformats.org/officeDocument/2006/relationships" name="Surrender" sheetId="8" state="visible" r:id="rId8"/>
    <sheet xmlns:r="http://schemas.openxmlformats.org/officeDocument/2006/relationships" name="HSDR" sheetId="9" state="visible" r:id="rId9"/>
    <sheet xmlns:r="http://schemas.openxmlformats.org/officeDocument/2006/relationships" name="Split" sheetId="10" state="visible" r:id="rId10"/>
    <sheet xmlns:r="http://schemas.openxmlformats.org/officeDocument/2006/relationships" name="Probability" sheetId="11" state="visible" r:id="rId11"/>
    <sheet xmlns:r="http://schemas.openxmlformats.org/officeDocument/2006/relationships" name="Expected Return" sheetId="12" state="visible" r:id="rId12"/>
    <sheet xmlns:r="http://schemas.openxmlformats.org/officeDocument/2006/relationships" name="Expected Valu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color theme="10"/>
      <sz val="10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0" borderId="0" pivotButton="0" quotePrefix="0" xfId="0"/>
    <xf numFmtId="0" fontId="1" fillId="6" borderId="0" pivotButton="0" quotePrefix="0" xfId="0"/>
    <xf numFmtId="0" fontId="1" fillId="5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1">
      <alignment horizontal="center"/>
    </xf>
  </cellXfs>
  <cellStyles count="2">
    <cellStyle name="Normal" xfId="0" builtinId="0"/>
    <cellStyle name="Hyperlink" xfId="1" builtinId="8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9" defaultPivotStyle="PivotStyleLight16">
    <tableStyle name="Strategy-style" pivot="0" count="3">
      <tableStyleElement type="headerRow" dxfId="23"/>
      <tableStyleElement type="firstRowStripe" dxfId="22"/>
      <tableStyleElement type="secondRowStripe" dxfId="21"/>
    </tableStyle>
    <tableStyle name="Strategy-style 2" pivot="0" count="3">
      <tableStyleElement type="headerRow" dxfId="20"/>
      <tableStyleElement type="firstRowStripe" dxfId="19"/>
      <tableStyleElement type="secondRow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European Rules with no BJ peak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41" authorId="0" shapeId="0">
      <text>
        <t>My calc has an unknown error resulting in a difference listed here</t>
      </text>
    </comment>
  </commentList>
</comments>
</file>

<file path=xl/tables/table1.xml><?xml version="1.0" encoding="utf-8"?>
<table xmlns="http://schemas.openxmlformats.org/spreadsheetml/2006/main" id="1" name="Table_1" displayName="Table_1" ref="A22:A32" headerRowCount="1">
  <tableColumns count="1">
    <tableColumn id="1" name="Soft"/>
  </tableColumns>
  <tableStyleInfo name="Strategy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34:A44" headerRowCount="1">
  <tableColumns count="1">
    <tableColumn id="1" name="Pair"/>
  </tableColumns>
  <tableStyleInfo name="Strateg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zardofodds.com/video/blackjack-basic-strategy/" TargetMode="Externa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4"/>
  <sheetViews>
    <sheetView tabSelected="1" workbookViewId="0">
      <selection activeCell="M17" sqref="M17"/>
    </sheetView>
  </sheetViews>
  <sheetFormatPr baseColWidth="8" defaultColWidth="12.6328125" defaultRowHeight="15.75" customHeight="1"/>
  <cols>
    <col width="4.26953125" customWidth="1" style="12" min="1" max="11"/>
  </cols>
  <sheetData>
    <row r="1" ht="12.5" customHeight="1" s="12">
      <c r="A1" s="13" t="inlineStr">
        <is>
          <t>https://wizardofodds.com/video/blackjack-basic-strategy/</t>
        </is>
      </c>
      <c r="L1" t="inlineStr">
        <is>
          <t>8 decks</t>
        </is>
      </c>
    </row>
    <row r="2" ht="12.5" customHeight="1" s="12">
      <c r="A2" s="1" t="inlineStr">
        <is>
          <t>Hard</t>
        </is>
      </c>
      <c r="B2" s="2" t="n">
        <v>2</v>
      </c>
      <c r="C2" s="3" t="n">
        <v>3</v>
      </c>
      <c r="D2" s="2" t="n">
        <v>4</v>
      </c>
      <c r="E2" s="3" t="n">
        <v>5</v>
      </c>
      <c r="F2" s="2" t="n">
        <v>6</v>
      </c>
      <c r="G2" s="3" t="n">
        <v>7</v>
      </c>
      <c r="H2" s="2" t="n">
        <v>8</v>
      </c>
      <c r="I2" s="3" t="n">
        <v>9</v>
      </c>
      <c r="J2" s="2" t="n">
        <v>10</v>
      </c>
      <c r="K2" s="3" t="inlineStr">
        <is>
          <t>Ace</t>
        </is>
      </c>
    </row>
    <row r="3" ht="12.5" customHeight="1" s="12">
      <c r="A3" s="3" t="n">
        <v>4</v>
      </c>
      <c r="B3" s="2" t="inlineStr">
        <is>
          <t>H</t>
        </is>
      </c>
      <c r="C3" s="2" t="inlineStr">
        <is>
          <t>H</t>
        </is>
      </c>
      <c r="D3" s="2" t="inlineStr">
        <is>
          <t>H</t>
        </is>
      </c>
      <c r="E3" s="2" t="inlineStr">
        <is>
          <t>H</t>
        </is>
      </c>
      <c r="F3" s="2" t="inlineStr">
        <is>
          <t>H</t>
        </is>
      </c>
      <c r="G3" s="2" t="inlineStr">
        <is>
          <t>H</t>
        </is>
      </c>
      <c r="H3" s="2" t="inlineStr">
        <is>
          <t>H</t>
        </is>
      </c>
      <c r="I3" s="2" t="inlineStr">
        <is>
          <t>H</t>
        </is>
      </c>
      <c r="J3" s="2" t="inlineStr">
        <is>
          <t>H</t>
        </is>
      </c>
      <c r="K3" s="2" t="inlineStr">
        <is>
          <t>H</t>
        </is>
      </c>
    </row>
    <row r="4" ht="12.5" customHeight="1" s="12">
      <c r="A4" s="1" t="n">
        <v>5</v>
      </c>
      <c r="B4" s="2" t="inlineStr">
        <is>
          <t>H</t>
        </is>
      </c>
      <c r="C4" s="2" t="inlineStr">
        <is>
          <t>H</t>
        </is>
      </c>
      <c r="D4" s="2" t="inlineStr">
        <is>
          <t>H</t>
        </is>
      </c>
      <c r="E4" s="2" t="inlineStr">
        <is>
          <t>H</t>
        </is>
      </c>
      <c r="F4" s="2" t="inlineStr">
        <is>
          <t>H</t>
        </is>
      </c>
      <c r="G4" s="2" t="inlineStr">
        <is>
          <t>H</t>
        </is>
      </c>
      <c r="H4" s="2" t="inlineStr">
        <is>
          <t>H</t>
        </is>
      </c>
      <c r="I4" s="2" t="inlineStr">
        <is>
          <t>H</t>
        </is>
      </c>
      <c r="J4" s="2" t="inlineStr">
        <is>
          <t>H</t>
        </is>
      </c>
      <c r="K4" s="2" t="inlineStr">
        <is>
          <t>H</t>
        </is>
      </c>
    </row>
    <row r="5" ht="12.5" customHeight="1" s="12">
      <c r="A5" s="3" t="n">
        <v>6</v>
      </c>
      <c r="B5" s="2" t="inlineStr">
        <is>
          <t>H</t>
        </is>
      </c>
      <c r="C5" s="2" t="inlineStr">
        <is>
          <t>H</t>
        </is>
      </c>
      <c r="D5" s="2" t="inlineStr">
        <is>
          <t>H</t>
        </is>
      </c>
      <c r="E5" s="2" t="inlineStr">
        <is>
          <t>H</t>
        </is>
      </c>
      <c r="F5" s="2" t="inlineStr">
        <is>
          <t>H</t>
        </is>
      </c>
      <c r="G5" s="2" t="inlineStr">
        <is>
          <t>H</t>
        </is>
      </c>
      <c r="H5" s="2" t="inlineStr">
        <is>
          <t>H</t>
        </is>
      </c>
      <c r="I5" s="2" t="inlineStr">
        <is>
          <t>H</t>
        </is>
      </c>
      <c r="J5" s="2" t="inlineStr">
        <is>
          <t>H</t>
        </is>
      </c>
      <c r="K5" s="2" t="inlineStr">
        <is>
          <t>H</t>
        </is>
      </c>
    </row>
    <row r="6" ht="12.5" customHeight="1" s="12">
      <c r="A6" s="1" t="n">
        <v>7</v>
      </c>
      <c r="B6" s="2" t="inlineStr">
        <is>
          <t>H</t>
        </is>
      </c>
      <c r="C6" s="2" t="inlineStr">
        <is>
          <t>H</t>
        </is>
      </c>
      <c r="D6" s="2" t="inlineStr">
        <is>
          <t>H</t>
        </is>
      </c>
      <c r="E6" s="2" t="inlineStr">
        <is>
          <t>H</t>
        </is>
      </c>
      <c r="F6" s="2" t="inlineStr">
        <is>
          <t>H</t>
        </is>
      </c>
      <c r="G6" s="2" t="inlineStr">
        <is>
          <t>H</t>
        </is>
      </c>
      <c r="H6" s="2" t="inlineStr">
        <is>
          <t>H</t>
        </is>
      </c>
      <c r="I6" s="2" t="inlineStr">
        <is>
          <t>H</t>
        </is>
      </c>
      <c r="J6" s="2" t="inlineStr">
        <is>
          <t>H</t>
        </is>
      </c>
      <c r="K6" s="2" t="inlineStr">
        <is>
          <t>H</t>
        </is>
      </c>
    </row>
    <row r="7" ht="12.5" customHeight="1" s="12">
      <c r="A7" s="3" t="n">
        <v>8</v>
      </c>
      <c r="B7" s="2" t="inlineStr">
        <is>
          <t>H</t>
        </is>
      </c>
      <c r="C7" s="2" t="inlineStr">
        <is>
          <t>H</t>
        </is>
      </c>
      <c r="D7" s="2" t="inlineStr">
        <is>
          <t>H</t>
        </is>
      </c>
      <c r="E7" s="2" t="inlineStr">
        <is>
          <t>H</t>
        </is>
      </c>
      <c r="F7" s="2" t="inlineStr">
        <is>
          <t>H</t>
        </is>
      </c>
      <c r="G7" s="2" t="inlineStr">
        <is>
          <t>H</t>
        </is>
      </c>
      <c r="H7" s="2" t="inlineStr">
        <is>
          <t>H</t>
        </is>
      </c>
      <c r="I7" s="2" t="inlineStr">
        <is>
          <t>H</t>
        </is>
      </c>
      <c r="J7" s="2" t="inlineStr">
        <is>
          <t>H</t>
        </is>
      </c>
      <c r="K7" s="2" t="inlineStr">
        <is>
          <t>H</t>
        </is>
      </c>
    </row>
    <row r="8" ht="12.5" customHeight="1" s="12">
      <c r="A8" s="1" t="n">
        <v>9</v>
      </c>
      <c r="B8" s="2" t="inlineStr">
        <is>
          <t>H</t>
        </is>
      </c>
      <c r="C8" s="2" t="inlineStr">
        <is>
          <t>D</t>
        </is>
      </c>
      <c r="D8" s="2" t="inlineStr">
        <is>
          <t>D</t>
        </is>
      </c>
      <c r="E8" s="2" t="inlineStr">
        <is>
          <t>D</t>
        </is>
      </c>
      <c r="F8" s="2" t="inlineStr">
        <is>
          <t>D</t>
        </is>
      </c>
      <c r="G8" s="2" t="inlineStr">
        <is>
          <t>H</t>
        </is>
      </c>
      <c r="H8" s="2" t="inlineStr">
        <is>
          <t>H</t>
        </is>
      </c>
      <c r="I8" s="2" t="inlineStr">
        <is>
          <t>H</t>
        </is>
      </c>
      <c r="J8" s="2" t="inlineStr">
        <is>
          <t>H</t>
        </is>
      </c>
      <c r="K8" s="2" t="inlineStr">
        <is>
          <t>H</t>
        </is>
      </c>
    </row>
    <row r="9" ht="12.5" customHeight="1" s="12">
      <c r="A9" s="3" t="n">
        <v>10</v>
      </c>
      <c r="B9" s="2" t="inlineStr">
        <is>
          <t>D</t>
        </is>
      </c>
      <c r="C9" s="2" t="inlineStr">
        <is>
          <t>D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D</t>
        </is>
      </c>
      <c r="G9" s="2" t="inlineStr">
        <is>
          <t>D</t>
        </is>
      </c>
      <c r="H9" s="2" t="inlineStr">
        <is>
          <t>D</t>
        </is>
      </c>
      <c r="I9" s="2" t="inlineStr">
        <is>
          <t>D</t>
        </is>
      </c>
      <c r="J9" s="2" t="inlineStr">
        <is>
          <t>H</t>
        </is>
      </c>
      <c r="K9" s="2" t="inlineStr">
        <is>
          <t>H</t>
        </is>
      </c>
    </row>
    <row r="10" ht="12.5" customHeight="1" s="12">
      <c r="A10" s="1" t="n">
        <v>11</v>
      </c>
      <c r="B10" s="2" t="inlineStr">
        <is>
          <t>D</t>
        </is>
      </c>
      <c r="C10" s="2" t="inlineStr">
        <is>
          <t>D</t>
        </is>
      </c>
      <c r="D10" s="2" t="inlineStr">
        <is>
          <t>D</t>
        </is>
      </c>
      <c r="E10" s="2" t="inlineStr">
        <is>
          <t>D</t>
        </is>
      </c>
      <c r="F10" s="2" t="inlineStr">
        <is>
          <t>D</t>
        </is>
      </c>
      <c r="G10" s="2" t="inlineStr">
        <is>
          <t>D</t>
        </is>
      </c>
      <c r="H10" s="2" t="inlineStr">
        <is>
          <t>D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D</t>
        </is>
      </c>
    </row>
    <row r="11" ht="12.5" customHeight="1" s="12">
      <c r="A11" s="3" t="n">
        <v>12</v>
      </c>
      <c r="B11" s="2" t="inlineStr">
        <is>
          <t>H</t>
        </is>
      </c>
      <c r="C11" s="2" t="inlineStr">
        <is>
          <t>H</t>
        </is>
      </c>
      <c r="D11" s="2" t="inlineStr">
        <is>
          <t>H</t>
        </is>
      </c>
      <c r="E11" s="2" t="inlineStr">
        <is>
          <t>S</t>
        </is>
      </c>
      <c r="F11" s="2" t="inlineStr">
        <is>
          <t>H</t>
        </is>
      </c>
      <c r="G11" s="2" t="inlineStr">
        <is>
          <t>H</t>
        </is>
      </c>
      <c r="H11" s="2" t="inlineStr">
        <is>
          <t>H</t>
        </is>
      </c>
      <c r="I11" s="2" t="inlineStr">
        <is>
          <t>H</t>
        </is>
      </c>
      <c r="J11" s="2" t="inlineStr">
        <is>
          <t>H</t>
        </is>
      </c>
      <c r="K11" s="2" t="inlineStr">
        <is>
          <t>H</t>
        </is>
      </c>
    </row>
    <row r="12" ht="12.5" customHeight="1" s="12">
      <c r="A12" s="1" t="n">
        <v>13</v>
      </c>
      <c r="B12" s="2" t="inlineStr">
        <is>
          <t>H</t>
        </is>
      </c>
      <c r="C12" s="2" t="inlineStr">
        <is>
          <t>S</t>
        </is>
      </c>
      <c r="D12" s="2" t="inlineStr">
        <is>
          <t>S</t>
        </is>
      </c>
      <c r="E12" s="2" t="inlineStr">
        <is>
          <t>S</t>
        </is>
      </c>
      <c r="F12" s="2" t="inlineStr">
        <is>
          <t>S</t>
        </is>
      </c>
      <c r="G12" s="2" t="inlineStr">
        <is>
          <t>H</t>
        </is>
      </c>
      <c r="H12" s="2" t="inlineStr">
        <is>
          <t>H</t>
        </is>
      </c>
      <c r="I12" s="2" t="inlineStr">
        <is>
          <t>H</t>
        </is>
      </c>
      <c r="J12" s="2" t="inlineStr">
        <is>
          <t>H</t>
        </is>
      </c>
      <c r="K12" s="2" t="inlineStr">
        <is>
          <t>H</t>
        </is>
      </c>
    </row>
    <row r="13" ht="12.5" customHeight="1" s="12">
      <c r="A13" s="3" t="n">
        <v>14</v>
      </c>
      <c r="B13" s="2" t="inlineStr">
        <is>
          <t>S</t>
        </is>
      </c>
      <c r="C13" s="2" t="inlineStr">
        <is>
          <t>S</t>
        </is>
      </c>
      <c r="D13" s="2" t="inlineStr">
        <is>
          <t>S</t>
        </is>
      </c>
      <c r="E13" s="2" t="inlineStr">
        <is>
          <t>S</t>
        </is>
      </c>
      <c r="F13" s="2" t="inlineStr">
        <is>
          <t>S</t>
        </is>
      </c>
      <c r="G13" s="2" t="inlineStr">
        <is>
          <t>H</t>
        </is>
      </c>
      <c r="H13" s="2" t="inlineStr">
        <is>
          <t>H</t>
        </is>
      </c>
      <c r="I13" s="2" t="inlineStr">
        <is>
          <t>H</t>
        </is>
      </c>
      <c r="J13" s="2" t="inlineStr">
        <is>
          <t>H</t>
        </is>
      </c>
      <c r="K13" s="2" t="inlineStr">
        <is>
          <t>H</t>
        </is>
      </c>
    </row>
    <row r="14" ht="12.5" customHeight="1" s="12">
      <c r="A14" s="1" t="n">
        <v>15</v>
      </c>
      <c r="B14" s="2" t="inlineStr">
        <is>
          <t>S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H</t>
        </is>
      </c>
      <c r="H14" s="2" t="inlineStr">
        <is>
          <t>H</t>
        </is>
      </c>
      <c r="I14" s="2" t="inlineStr">
        <is>
          <t>H</t>
        </is>
      </c>
      <c r="J14" s="2" t="inlineStr">
        <is>
          <t>H</t>
        </is>
      </c>
      <c r="K14" s="2" t="inlineStr">
        <is>
          <t>H</t>
        </is>
      </c>
    </row>
    <row r="15" ht="12.5" customHeight="1" s="12">
      <c r="A15" s="3" t="n">
        <v>16</v>
      </c>
      <c r="B15" s="2" t="inlineStr">
        <is>
          <t>S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2" t="inlineStr">
        <is>
          <t>H</t>
        </is>
      </c>
      <c r="H15" s="2" t="inlineStr">
        <is>
          <t>H</t>
        </is>
      </c>
      <c r="I15" s="2" t="inlineStr">
        <is>
          <t>H</t>
        </is>
      </c>
      <c r="J15" s="2" t="inlineStr">
        <is>
          <t>H</t>
        </is>
      </c>
      <c r="K15" s="2" t="inlineStr">
        <is>
          <t>H</t>
        </is>
      </c>
    </row>
    <row r="16" ht="12.5" customHeight="1" s="12">
      <c r="A16" s="1" t="n">
        <v>17</v>
      </c>
      <c r="B16" s="2" t="inlineStr">
        <is>
          <t>S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</row>
    <row r="17" ht="12.5" customHeight="1" s="12">
      <c r="A17" s="3" t="n">
        <v>18</v>
      </c>
      <c r="B17" s="2" t="inlineStr">
        <is>
          <t>S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</row>
    <row r="18" ht="12.5" customHeight="1" s="12">
      <c r="A18" s="1" t="n">
        <v>19</v>
      </c>
      <c r="B18" s="2" t="inlineStr">
        <is>
          <t>S</t>
        </is>
      </c>
      <c r="C18" s="2" t="inlineStr">
        <is>
          <t>S</t>
        </is>
      </c>
      <c r="D18" s="2" t="inlineStr">
        <is>
          <t>S</t>
        </is>
      </c>
      <c r="E18" s="2" t="inlineStr">
        <is>
          <t>S</t>
        </is>
      </c>
      <c r="F18" s="2" t="inlineStr">
        <is>
          <t>S</t>
        </is>
      </c>
      <c r="G18" s="2" t="inlineStr">
        <is>
          <t>S</t>
        </is>
      </c>
      <c r="H18" s="2" t="inlineStr">
        <is>
          <t>S</t>
        </is>
      </c>
      <c r="I18" s="2" t="inlineStr">
        <is>
          <t>S</t>
        </is>
      </c>
      <c r="J18" s="2" t="inlineStr">
        <is>
          <t>S</t>
        </is>
      </c>
      <c r="K18" s="2" t="inlineStr">
        <is>
          <t>S</t>
        </is>
      </c>
    </row>
    <row r="19" ht="12.5" customHeight="1" s="12">
      <c r="A19" s="3" t="n">
        <v>20</v>
      </c>
      <c r="B19" s="2" t="inlineStr">
        <is>
          <t>S</t>
        </is>
      </c>
      <c r="C19" s="2" t="inlineStr">
        <is>
          <t>S</t>
        </is>
      </c>
      <c r="D19" s="2" t="inlineStr">
        <is>
          <t>S</t>
        </is>
      </c>
      <c r="E19" s="2" t="inlineStr">
        <is>
          <t>S</t>
        </is>
      </c>
      <c r="F19" s="2" t="inlineStr">
        <is>
          <t>S</t>
        </is>
      </c>
      <c r="G19" s="2" t="inlineStr">
        <is>
          <t>S</t>
        </is>
      </c>
      <c r="H19" s="2" t="inlineStr">
        <is>
          <t>S</t>
        </is>
      </c>
      <c r="I19" s="2" t="inlineStr">
        <is>
          <t>S</t>
        </is>
      </c>
      <c r="J19" s="2" t="inlineStr">
        <is>
          <t>S</t>
        </is>
      </c>
      <c r="K19" s="2" t="inlineStr">
        <is>
          <t>S</t>
        </is>
      </c>
    </row>
    <row r="20" ht="12.5" customHeight="1" s="12">
      <c r="A20" s="1" t="n">
        <v>21</v>
      </c>
      <c r="B20" s="2" t="inlineStr">
        <is>
          <t>S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2" t="inlineStr">
        <is>
          <t>S</t>
        </is>
      </c>
      <c r="J20" s="2" t="inlineStr">
        <is>
          <t>S</t>
        </is>
      </c>
      <c r="K20" s="2" t="inlineStr">
        <is>
          <t>S</t>
        </is>
      </c>
    </row>
    <row r="21" ht="5.25" customHeight="1" s="1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12.5" customHeight="1" s="12">
      <c r="A22" s="2" t="inlineStr">
        <is>
          <t>Soft</t>
        </is>
      </c>
      <c r="B22" s="2" t="n">
        <v>2</v>
      </c>
      <c r="C22" s="3" t="n">
        <v>3</v>
      </c>
      <c r="D22" s="2" t="n">
        <v>4</v>
      </c>
      <c r="E22" s="3" t="n">
        <v>5</v>
      </c>
      <c r="F22" s="2" t="n">
        <v>6</v>
      </c>
      <c r="G22" s="3" t="n">
        <v>7</v>
      </c>
      <c r="H22" s="2" t="n">
        <v>8</v>
      </c>
      <c r="I22" s="3" t="n">
        <v>9</v>
      </c>
      <c r="J22" s="2" t="n">
        <v>10</v>
      </c>
      <c r="K22" s="3" t="inlineStr">
        <is>
          <t>Ace</t>
        </is>
      </c>
    </row>
    <row r="23" ht="12.5" customHeight="1" s="12">
      <c r="A23" s="2" t="n">
        <v>12</v>
      </c>
      <c r="B23" s="2" t="inlineStr">
        <is>
          <t>H</t>
        </is>
      </c>
      <c r="C23" s="2" t="inlineStr">
        <is>
          <t>H</t>
        </is>
      </c>
      <c r="D23" s="2" t="inlineStr">
        <is>
          <t>H</t>
        </is>
      </c>
      <c r="E23" s="2" t="inlineStr">
        <is>
          <t>D</t>
        </is>
      </c>
      <c r="F23" s="2" t="inlineStr">
        <is>
          <t>D</t>
        </is>
      </c>
      <c r="G23" s="2" t="inlineStr">
        <is>
          <t>H</t>
        </is>
      </c>
      <c r="H23" s="2" t="inlineStr">
        <is>
          <t>H</t>
        </is>
      </c>
      <c r="I23" s="2" t="inlineStr">
        <is>
          <t>H</t>
        </is>
      </c>
      <c r="J23" s="2" t="inlineStr">
        <is>
          <t>H</t>
        </is>
      </c>
      <c r="K23" s="2" t="inlineStr">
        <is>
          <t>H</t>
        </is>
      </c>
    </row>
    <row r="24" ht="12.5" customHeight="1" s="12">
      <c r="A24" s="2" t="n">
        <v>13</v>
      </c>
      <c r="B24" s="2" t="inlineStr">
        <is>
          <t>H</t>
        </is>
      </c>
      <c r="C24" s="2" t="inlineStr">
        <is>
          <t>H</t>
        </is>
      </c>
      <c r="D24" s="2" t="inlineStr">
        <is>
          <t>H</t>
        </is>
      </c>
      <c r="E24" s="2" t="inlineStr">
        <is>
          <t>D</t>
        </is>
      </c>
      <c r="F24" s="2" t="inlineStr">
        <is>
          <t>D</t>
        </is>
      </c>
      <c r="G24" s="2" t="inlineStr">
        <is>
          <t>H</t>
        </is>
      </c>
      <c r="H24" s="2" t="inlineStr">
        <is>
          <t>H</t>
        </is>
      </c>
      <c r="I24" s="2" t="inlineStr">
        <is>
          <t>H</t>
        </is>
      </c>
      <c r="J24" s="2" t="inlineStr">
        <is>
          <t>H</t>
        </is>
      </c>
      <c r="K24" s="2" t="inlineStr">
        <is>
          <t>H</t>
        </is>
      </c>
    </row>
    <row r="25" ht="12.5" customHeight="1" s="12">
      <c r="A25" s="2" t="n">
        <v>14</v>
      </c>
      <c r="B25" s="2" t="inlineStr">
        <is>
          <t>H</t>
        </is>
      </c>
      <c r="C25" s="2" t="inlineStr">
        <is>
          <t>H</t>
        </is>
      </c>
      <c r="D25" s="2" t="inlineStr">
        <is>
          <t>H</t>
        </is>
      </c>
      <c r="E25" s="2" t="inlineStr">
        <is>
          <t>D</t>
        </is>
      </c>
      <c r="F25" s="2" t="inlineStr">
        <is>
          <t>D</t>
        </is>
      </c>
      <c r="G25" s="2" t="inlineStr">
        <is>
          <t>H</t>
        </is>
      </c>
      <c r="H25" s="2" t="inlineStr">
        <is>
          <t>H</t>
        </is>
      </c>
      <c r="I25" s="2" t="inlineStr">
        <is>
          <t>H</t>
        </is>
      </c>
      <c r="J25" s="2" t="inlineStr">
        <is>
          <t>H</t>
        </is>
      </c>
      <c r="K25" s="2" t="inlineStr">
        <is>
          <t>H</t>
        </is>
      </c>
    </row>
    <row r="26" ht="12.5" customHeight="1" s="12">
      <c r="A26" s="2" t="n">
        <v>15</v>
      </c>
      <c r="B26" s="2" t="inlineStr">
        <is>
          <t>H</t>
        </is>
      </c>
      <c r="C26" s="2" t="inlineStr">
        <is>
          <t>H</t>
        </is>
      </c>
      <c r="D26" s="2" t="inlineStr">
        <is>
          <t>H</t>
        </is>
      </c>
      <c r="E26" s="2" t="inlineStr">
        <is>
          <t>D</t>
        </is>
      </c>
      <c r="F26" s="2" t="inlineStr">
        <is>
          <t>D</t>
        </is>
      </c>
      <c r="G26" s="2" t="inlineStr">
        <is>
          <t>H</t>
        </is>
      </c>
      <c r="H26" s="2" t="inlineStr">
        <is>
          <t>H</t>
        </is>
      </c>
      <c r="I26" s="2" t="inlineStr">
        <is>
          <t>H</t>
        </is>
      </c>
      <c r="J26" s="2" t="inlineStr">
        <is>
          <t>H</t>
        </is>
      </c>
      <c r="K26" s="2" t="inlineStr">
        <is>
          <t>H</t>
        </is>
      </c>
    </row>
    <row r="27" ht="12.5" customHeight="1" s="12">
      <c r="A27" s="2" t="n">
        <v>16</v>
      </c>
      <c r="B27" s="2" t="inlineStr">
        <is>
          <t>H</t>
        </is>
      </c>
      <c r="C27" s="2" t="inlineStr">
        <is>
          <t>H</t>
        </is>
      </c>
      <c r="D27" s="2" t="inlineStr">
        <is>
          <t>D</t>
        </is>
      </c>
      <c r="E27" s="2" t="inlineStr">
        <is>
          <t>D</t>
        </is>
      </c>
      <c r="F27" s="2" t="inlineStr">
        <is>
          <t>D</t>
        </is>
      </c>
      <c r="G27" s="2" t="inlineStr">
        <is>
          <t>H</t>
        </is>
      </c>
      <c r="H27" s="2" t="inlineStr">
        <is>
          <t>H</t>
        </is>
      </c>
      <c r="I27" s="2" t="inlineStr">
        <is>
          <t>H</t>
        </is>
      </c>
      <c r="J27" s="2" t="inlineStr">
        <is>
          <t>H</t>
        </is>
      </c>
      <c r="K27" s="2" t="inlineStr">
        <is>
          <t>H</t>
        </is>
      </c>
    </row>
    <row r="28" ht="12.5" customHeight="1" s="12">
      <c r="A28" s="2" t="n">
        <v>17</v>
      </c>
      <c r="B28" s="2" t="inlineStr">
        <is>
          <t>D</t>
        </is>
      </c>
      <c r="C28" s="2" t="inlineStr">
        <is>
          <t>D</t>
        </is>
      </c>
      <c r="D28" s="2" t="inlineStr">
        <is>
          <t>D</t>
        </is>
      </c>
      <c r="E28" s="2" t="inlineStr">
        <is>
          <t>D</t>
        </is>
      </c>
      <c r="F28" s="2" t="inlineStr">
        <is>
          <t>D</t>
        </is>
      </c>
      <c r="G28" s="2" t="inlineStr">
        <is>
          <t>H</t>
        </is>
      </c>
      <c r="H28" s="2" t="inlineStr">
        <is>
          <t>H</t>
        </is>
      </c>
      <c r="I28" s="2" t="inlineStr">
        <is>
          <t>H</t>
        </is>
      </c>
      <c r="J28" s="2" t="inlineStr">
        <is>
          <t>H</t>
        </is>
      </c>
      <c r="K28" s="2" t="inlineStr">
        <is>
          <t>H</t>
        </is>
      </c>
    </row>
    <row r="29" ht="12.5" customHeight="1" s="12">
      <c r="A29" s="2" t="n">
        <v>18</v>
      </c>
      <c r="B29" s="2" t="inlineStr">
        <is>
          <t>S</t>
        </is>
      </c>
      <c r="C29" s="2" t="inlineStr">
        <is>
          <t>DS</t>
        </is>
      </c>
      <c r="D29" s="2" t="inlineStr">
        <is>
          <t>DS</t>
        </is>
      </c>
      <c r="E29" s="2" t="inlineStr">
        <is>
          <t>DS</t>
        </is>
      </c>
      <c r="F29" s="2" t="inlineStr">
        <is>
          <t>DS</t>
        </is>
      </c>
      <c r="G29" s="2" t="inlineStr">
        <is>
          <t>S</t>
        </is>
      </c>
      <c r="H29" s="2" t="inlineStr">
        <is>
          <t>S</t>
        </is>
      </c>
      <c r="I29" s="2" t="inlineStr">
        <is>
          <t>H</t>
        </is>
      </c>
      <c r="J29" s="2" t="inlineStr">
        <is>
          <t>H</t>
        </is>
      </c>
      <c r="K29" s="2" t="inlineStr">
        <is>
          <t>H</t>
        </is>
      </c>
    </row>
    <row r="30" ht="12.5" customHeight="1" s="12">
      <c r="A30" s="2" t="n">
        <v>19</v>
      </c>
      <c r="B30" s="2" t="inlineStr">
        <is>
          <t>S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DS</t>
        </is>
      </c>
      <c r="G30" s="2" t="inlineStr">
        <is>
          <t>S</t>
        </is>
      </c>
      <c r="H30" s="2" t="inlineStr">
        <is>
          <t>S</t>
        </is>
      </c>
      <c r="I30" s="2" t="inlineStr">
        <is>
          <t>S</t>
        </is>
      </c>
      <c r="J30" s="2" t="inlineStr">
        <is>
          <t>S</t>
        </is>
      </c>
      <c r="K30" s="2" t="inlineStr">
        <is>
          <t>S</t>
        </is>
      </c>
    </row>
    <row r="31" ht="12.5" customHeight="1" s="12">
      <c r="A31" s="2" t="n">
        <v>20</v>
      </c>
      <c r="B31" s="2" t="inlineStr">
        <is>
          <t>S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2" t="inlineStr">
        <is>
          <t>S</t>
        </is>
      </c>
      <c r="G31" s="2" t="inlineStr">
        <is>
          <t>S</t>
        </is>
      </c>
      <c r="H31" s="2" t="inlineStr">
        <is>
          <t>S</t>
        </is>
      </c>
      <c r="I31" s="2" t="inlineStr">
        <is>
          <t>S</t>
        </is>
      </c>
      <c r="J31" s="2" t="inlineStr">
        <is>
          <t>S</t>
        </is>
      </c>
      <c r="K31" s="2" t="inlineStr">
        <is>
          <t>S</t>
        </is>
      </c>
    </row>
    <row r="32" ht="12.5" customHeight="1" s="12">
      <c r="A32" s="2" t="n">
        <v>21</v>
      </c>
      <c r="B32" s="2" t="inlineStr">
        <is>
          <t>S</t>
        </is>
      </c>
      <c r="C32" s="2" t="inlineStr">
        <is>
          <t>S</t>
        </is>
      </c>
      <c r="D32" s="2" t="inlineStr">
        <is>
          <t>S</t>
        </is>
      </c>
      <c r="E32" s="2" t="inlineStr">
        <is>
          <t>S</t>
        </is>
      </c>
      <c r="F32" s="2" t="inlineStr">
        <is>
          <t>S</t>
        </is>
      </c>
      <c r="G32" s="2" t="inlineStr">
        <is>
          <t>S</t>
        </is>
      </c>
      <c r="H32" s="2" t="inlineStr">
        <is>
          <t>S</t>
        </is>
      </c>
      <c r="I32" s="2" t="inlineStr">
        <is>
          <t>S</t>
        </is>
      </c>
      <c r="J32" s="2" t="inlineStr">
        <is>
          <t>S</t>
        </is>
      </c>
      <c r="K32" s="2" t="inlineStr">
        <is>
          <t>S</t>
        </is>
      </c>
    </row>
    <row r="33" ht="6" customHeight="1" s="1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12.5" customHeight="1" s="12">
      <c r="A34" s="2" t="inlineStr">
        <is>
          <t>Pair</t>
        </is>
      </c>
      <c r="B34" s="2" t="n">
        <v>2</v>
      </c>
      <c r="C34" s="3" t="n">
        <v>3</v>
      </c>
      <c r="D34" s="2" t="n">
        <v>4</v>
      </c>
      <c r="E34" s="3" t="n">
        <v>5</v>
      </c>
      <c r="F34" s="2" t="n">
        <v>6</v>
      </c>
      <c r="G34" s="3" t="n">
        <v>7</v>
      </c>
      <c r="H34" s="2" t="n">
        <v>8</v>
      </c>
      <c r="I34" s="3" t="n">
        <v>9</v>
      </c>
      <c r="J34" s="2" t="n">
        <v>10</v>
      </c>
      <c r="K34" s="3" t="inlineStr">
        <is>
          <t>Ace</t>
        </is>
      </c>
    </row>
    <row r="35" ht="12.5" customHeight="1" s="12">
      <c r="A35" s="2" t="n">
        <v>2</v>
      </c>
      <c r="B35" s="2" t="inlineStr">
        <is>
          <t>Y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N</t>
        </is>
      </c>
      <c r="I35" s="2" t="inlineStr">
        <is>
          <t>N</t>
        </is>
      </c>
      <c r="J35" s="2" t="inlineStr">
        <is>
          <t>N</t>
        </is>
      </c>
      <c r="K35" s="2" t="inlineStr">
        <is>
          <t>N</t>
        </is>
      </c>
    </row>
    <row r="36" ht="12.5" customHeight="1" s="12">
      <c r="A36" s="2" t="n">
        <v>3</v>
      </c>
      <c r="B36" s="2" t="inlineStr">
        <is>
          <t>Y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</row>
    <row r="37" ht="12.5" customHeight="1" s="12">
      <c r="A37" s="2" t="n">
        <v>4</v>
      </c>
      <c r="B37" s="2" t="inlineStr">
        <is>
          <t>N</t>
        </is>
      </c>
      <c r="C37" s="2" t="inlineStr">
        <is>
          <t>N</t>
        </is>
      </c>
      <c r="D37" s="2" t="inlineStr">
        <is>
          <t>N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N</t>
        </is>
      </c>
      <c r="J37" s="2" t="inlineStr">
        <is>
          <t>N</t>
        </is>
      </c>
      <c r="K37" s="2" t="inlineStr">
        <is>
          <t>N</t>
        </is>
      </c>
    </row>
    <row r="38" ht="12.5" customHeight="1" s="12">
      <c r="A38" s="2" t="n">
        <v>5</v>
      </c>
      <c r="B38" s="2" t="inlineStr">
        <is>
          <t>N</t>
        </is>
      </c>
      <c r="C38" s="2" t="inlineStr">
        <is>
          <t>N</t>
        </is>
      </c>
      <c r="D38" s="2" t="inlineStr">
        <is>
          <t>N</t>
        </is>
      </c>
      <c r="E38" s="2" t="inlineStr">
        <is>
          <t>N</t>
        </is>
      </c>
      <c r="F38" s="2" t="inlineStr">
        <is>
          <t>N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</row>
    <row r="39" ht="12.5" customHeight="1" s="12">
      <c r="A39" s="2" t="n">
        <v>6</v>
      </c>
      <c r="B39" s="2" t="inlineStr">
        <is>
          <t>Y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N</t>
        </is>
      </c>
      <c r="J39" s="2" t="inlineStr">
        <is>
          <t>N</t>
        </is>
      </c>
      <c r="K39" s="2" t="inlineStr">
        <is>
          <t>N</t>
        </is>
      </c>
    </row>
    <row r="40" ht="12.5" customHeight="1" s="12">
      <c r="A40" s="2" t="n">
        <v>7</v>
      </c>
      <c r="B40" s="2" t="inlineStr">
        <is>
          <t>Y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</row>
    <row r="41" ht="12.5" customHeight="1" s="12">
      <c r="A41" s="2" t="n">
        <v>8</v>
      </c>
      <c r="B41" s="2" t="inlineStr">
        <is>
          <t>Y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2" t="inlineStr">
        <is>
          <t>Y</t>
        </is>
      </c>
      <c r="J41" s="2" t="inlineStr">
        <is>
          <t>Y</t>
        </is>
      </c>
      <c r="K41" s="2" t="inlineStr">
        <is>
          <t>Y</t>
        </is>
      </c>
    </row>
    <row r="42" ht="12.5" customHeight="1" s="12">
      <c r="A42" s="2" t="n">
        <v>9</v>
      </c>
      <c r="B42" s="2" t="inlineStr">
        <is>
          <t>Y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N</t>
        </is>
      </c>
      <c r="H42" s="2" t="inlineStr">
        <is>
          <t>Y</t>
        </is>
      </c>
      <c r="I42" s="2" t="inlineStr">
        <is>
          <t>Y</t>
        </is>
      </c>
      <c r="J42" s="2" t="inlineStr">
        <is>
          <t>N</t>
        </is>
      </c>
      <c r="K42" s="2" t="inlineStr">
        <is>
          <t>N</t>
        </is>
      </c>
    </row>
    <row r="43" ht="12.5" customHeight="1" s="12">
      <c r="A43" s="2" t="n">
        <v>10</v>
      </c>
      <c r="B43" s="2" t="inlineStr">
        <is>
          <t>N</t>
        </is>
      </c>
      <c r="C43" s="2" t="inlineStr">
        <is>
          <t>N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N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</row>
    <row r="44" ht="12.5" customHeight="1" s="12">
      <c r="A44" s="2" t="inlineStr">
        <is>
          <t>Ace</t>
        </is>
      </c>
      <c r="B44" s="2" t="inlineStr">
        <is>
          <t>Y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Y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</row>
  </sheetData>
  <mergeCells count="1">
    <mergeCell ref="A1:K1"/>
  </mergeCells>
  <conditionalFormatting sqref="A1:K44">
    <cfRule type="cellIs" priority="1" operator="equal" dxfId="1">
      <formula>"H"</formula>
    </cfRule>
    <cfRule type="cellIs" priority="2" operator="equal" dxfId="4">
      <formula>"S"</formula>
    </cfRule>
    <cfRule type="cellIs" priority="3" operator="equal" dxfId="0">
      <formula>"R"</formula>
    </cfRule>
    <cfRule type="cellIs" priority="4" operator="equal" dxfId="14">
      <formula>"D"</formula>
    </cfRule>
    <cfRule type="cellIs" priority="5" operator="equal" dxfId="1">
      <formula>"Y"</formula>
    </cfRule>
    <cfRule type="cellIs" priority="6" operator="equal" dxfId="0">
      <formula>"N"</formula>
    </cfRule>
    <cfRule type="cellIs" priority="7" operator="equal" dxfId="11">
      <formula>"Sp"</formula>
    </cfRule>
  </conditionalFormatting>
  <hyperlinks>
    <hyperlink xmlns:r="http://schemas.openxmlformats.org/officeDocument/2006/relationships" ref="A1" r:id="rId1"/>
  </hyperlinks>
  <pageMargins left="0.7" right="0.7" top="0.75" bottom="0.75" header="0.3" footer="0.3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Z18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28125" defaultRowHeight="15.75" customHeight="1"/>
  <sheetData>
    <row r="1" ht="15.75" customHeight="1" s="12">
      <c r="A1" s="5" t="inlineStr">
        <is>
          <t>Outcome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inlineStr">
        <is>
          <t>Bust</t>
        </is>
      </c>
      <c r="B2" s="5">
        <f>B11</f>
        <v/>
      </c>
      <c r="C2" s="5">
        <f>C11</f>
        <v/>
      </c>
      <c r="D2" s="5">
        <f>D11</f>
        <v/>
      </c>
      <c r="E2" s="5">
        <f>E11</f>
        <v/>
      </c>
      <c r="F2" s="5">
        <f>F11</f>
        <v/>
      </c>
      <c r="G2" s="5">
        <f>G11</f>
        <v/>
      </c>
      <c r="H2" s="5">
        <f>H11</f>
        <v/>
      </c>
      <c r="I2" s="5">
        <f>I11</f>
        <v/>
      </c>
      <c r="J2" s="5">
        <f>(SUM(L11:S11)+4*T11)/12</f>
        <v/>
      </c>
      <c r="K2" s="5">
        <f>(SUM(AG11:AO11)/9)</f>
        <v/>
      </c>
    </row>
    <row r="3" ht="15.75" customHeight="1" s="12">
      <c r="A3" s="5" t="n">
        <v>17</v>
      </c>
      <c r="B3" s="5">
        <f>B12</f>
        <v/>
      </c>
      <c r="C3" s="5">
        <f>C12</f>
        <v/>
      </c>
      <c r="D3" s="5">
        <f>D12</f>
        <v/>
      </c>
      <c r="E3" s="5">
        <f>E12</f>
        <v/>
      </c>
      <c r="F3" s="5">
        <f>F12</f>
        <v/>
      </c>
      <c r="G3" s="5">
        <f>G12</f>
        <v/>
      </c>
      <c r="H3" s="5">
        <f>H12</f>
        <v/>
      </c>
      <c r="I3" s="5">
        <f>I12</f>
        <v/>
      </c>
      <c r="J3" s="5">
        <f>(SUM(L12:S12)+4*T12)/12</f>
        <v/>
      </c>
      <c r="K3" s="5">
        <f>(SUM(AG12:AO12)/9)</f>
        <v/>
      </c>
    </row>
    <row r="4" ht="15.75" customHeight="1" s="12">
      <c r="A4" s="5" t="n">
        <v>18</v>
      </c>
      <c r="B4" s="5">
        <f>B13</f>
        <v/>
      </c>
      <c r="C4" s="5">
        <f>C13</f>
        <v/>
      </c>
      <c r="D4" s="5">
        <f>D13</f>
        <v/>
      </c>
      <c r="E4" s="5">
        <f>E13</f>
        <v/>
      </c>
      <c r="F4" s="5">
        <f>F13</f>
        <v/>
      </c>
      <c r="G4" s="5">
        <f>G13</f>
        <v/>
      </c>
      <c r="H4" s="5">
        <f>H13</f>
        <v/>
      </c>
      <c r="I4" s="5">
        <f>I13</f>
        <v/>
      </c>
      <c r="J4" s="5">
        <f>(SUM(L13:S13)+4*T13)/12</f>
        <v/>
      </c>
      <c r="K4" s="5">
        <f>(SUM(AG13:AO13)/9)</f>
        <v/>
      </c>
    </row>
    <row r="5" ht="15.75" customHeight="1" s="12">
      <c r="A5" s="5" t="n">
        <v>19</v>
      </c>
      <c r="B5" s="5">
        <f>B14</f>
        <v/>
      </c>
      <c r="C5" s="5">
        <f>C14</f>
        <v/>
      </c>
      <c r="D5" s="5">
        <f>D14</f>
        <v/>
      </c>
      <c r="E5" s="5">
        <f>E14</f>
        <v/>
      </c>
      <c r="F5" s="5">
        <f>F14</f>
        <v/>
      </c>
      <c r="G5" s="5">
        <f>G14</f>
        <v/>
      </c>
      <c r="H5" s="5">
        <f>H14</f>
        <v/>
      </c>
      <c r="I5" s="5">
        <f>I14</f>
        <v/>
      </c>
      <c r="J5" s="5">
        <f>(SUM(L14:S14)+4*T14)/12</f>
        <v/>
      </c>
      <c r="K5" s="5">
        <f>(SUM(AG14:AO14)/9)</f>
        <v/>
      </c>
    </row>
    <row r="6" ht="15.75" customHeight="1" s="12">
      <c r="A6" s="5" t="n">
        <v>20</v>
      </c>
      <c r="B6" s="5">
        <f>B15</f>
        <v/>
      </c>
      <c r="C6" s="5">
        <f>C15</f>
        <v/>
      </c>
      <c r="D6" s="5">
        <f>D15</f>
        <v/>
      </c>
      <c r="E6" s="5">
        <f>E15</f>
        <v/>
      </c>
      <c r="F6" s="5">
        <f>F15</f>
        <v/>
      </c>
      <c r="G6" s="5">
        <f>G15</f>
        <v/>
      </c>
      <c r="H6" s="5">
        <f>H15</f>
        <v/>
      </c>
      <c r="I6" s="5">
        <f>I15</f>
        <v/>
      </c>
      <c r="J6" s="5">
        <f>(SUM(L15:S15)+4*T15)/12</f>
        <v/>
      </c>
      <c r="K6" s="5">
        <f>(SUM(AG15:AO15)/9)</f>
        <v/>
      </c>
    </row>
    <row r="7" ht="15.75" customHeight="1" s="12">
      <c r="A7" s="5" t="n">
        <v>21</v>
      </c>
      <c r="B7" s="5">
        <f>B16</f>
        <v/>
      </c>
      <c r="C7" s="5">
        <f>C16</f>
        <v/>
      </c>
      <c r="D7" s="5">
        <f>D16</f>
        <v/>
      </c>
      <c r="E7" s="5">
        <f>E16</f>
        <v/>
      </c>
      <c r="F7" s="5">
        <f>F16</f>
        <v/>
      </c>
      <c r="G7" s="5">
        <f>G16</f>
        <v/>
      </c>
      <c r="H7" s="5">
        <f>H16</f>
        <v/>
      </c>
      <c r="I7" s="5">
        <f>I16</f>
        <v/>
      </c>
      <c r="J7" s="5">
        <f>(SUM(L16:S16)+4*T16)/12</f>
        <v/>
      </c>
      <c r="K7" s="5">
        <f>(SUM(AG16:AO16)/9)</f>
        <v/>
      </c>
    </row>
    <row r="8" ht="15.75" customHeight="1" s="12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  <c r="I8" s="5">
        <f>SUM(I2:I7)</f>
        <v/>
      </c>
      <c r="J8" s="5">
        <f>SUM(J2:J7)</f>
        <v/>
      </c>
      <c r="K8" s="5">
        <f>SUM(K2:K7)</f>
        <v/>
      </c>
      <c r="AG8" s="5" t="inlineStr">
        <is>
          <t>Soft</t>
        </is>
      </c>
    </row>
    <row r="9" ht="15.75" customHeight="1" s="12">
      <c r="A9" s="5" t="n"/>
      <c r="AG9" s="5" t="n"/>
    </row>
    <row r="10" ht="15.75" customHeight="1" s="12">
      <c r="A10" s="6" t="inlineStr">
        <is>
          <t>Outcome</t>
        </is>
      </c>
      <c r="B10" s="6" t="n">
        <v>2</v>
      </c>
      <c r="C10" s="6" t="n">
        <v>3</v>
      </c>
      <c r="D10" s="6" t="n">
        <v>4</v>
      </c>
      <c r="E10" s="6" t="n">
        <v>5</v>
      </c>
      <c r="F10" s="6" t="n">
        <v>6</v>
      </c>
      <c r="G10" s="6" t="n">
        <v>7</v>
      </c>
      <c r="H10" s="6" t="n">
        <v>8</v>
      </c>
      <c r="I10" s="6" t="n">
        <v>9</v>
      </c>
      <c r="J10" s="6" t="n">
        <v>10</v>
      </c>
      <c r="K10" s="6" t="n">
        <v>11</v>
      </c>
      <c r="L10" s="6" t="n">
        <v>12</v>
      </c>
      <c r="M10" s="6" t="n">
        <v>13</v>
      </c>
      <c r="N10" s="6" t="n">
        <v>14</v>
      </c>
      <c r="O10" s="6" t="n">
        <v>15</v>
      </c>
      <c r="P10" s="6" t="n">
        <v>16</v>
      </c>
      <c r="Q10" s="6" t="n">
        <v>17</v>
      </c>
      <c r="R10" s="6" t="n">
        <v>18</v>
      </c>
      <c r="S10" s="6" t="n">
        <v>19</v>
      </c>
      <c r="T10" s="6" t="n">
        <v>20</v>
      </c>
      <c r="U10" s="6" t="n">
        <v>21</v>
      </c>
      <c r="V10" s="6" t="n">
        <v>22</v>
      </c>
      <c r="W10" s="6" t="n">
        <v>23</v>
      </c>
      <c r="X10" s="6" t="n">
        <v>24</v>
      </c>
      <c r="Y10" s="6" t="n">
        <v>25</v>
      </c>
      <c r="Z10" s="6" t="n">
        <v>26</v>
      </c>
      <c r="AA10" s="6" t="n">
        <v>27</v>
      </c>
      <c r="AB10" s="6" t="n">
        <v>28</v>
      </c>
      <c r="AC10" s="6" t="n">
        <v>29</v>
      </c>
      <c r="AD10" s="6" t="n">
        <v>30</v>
      </c>
      <c r="AE10" s="6" t="n">
        <v>31</v>
      </c>
      <c r="AF10" s="6" t="n"/>
      <c r="AG10" s="6" t="n">
        <v>12</v>
      </c>
      <c r="AH10" s="6" t="n">
        <v>13</v>
      </c>
      <c r="AI10" s="6" t="n">
        <v>14</v>
      </c>
      <c r="AJ10" s="6" t="n">
        <v>15</v>
      </c>
      <c r="AK10" s="6" t="n">
        <v>16</v>
      </c>
      <c r="AL10" s="6" t="n">
        <v>17</v>
      </c>
      <c r="AM10" s="6" t="n">
        <v>18</v>
      </c>
      <c r="AN10" s="6" t="n">
        <v>19</v>
      </c>
      <c r="AO10" s="6" t="n">
        <v>20</v>
      </c>
      <c r="AP10" s="6" t="n">
        <v>21</v>
      </c>
      <c r="AQ10" s="6" t="n">
        <v>22</v>
      </c>
      <c r="AR10" s="6" t="n">
        <v>23</v>
      </c>
      <c r="AS10" s="6" t="n">
        <v>24</v>
      </c>
      <c r="AT10" s="6" t="n">
        <v>25</v>
      </c>
      <c r="AU10" s="6" t="n">
        <v>26</v>
      </c>
      <c r="AV10" s="6" t="n">
        <v>27</v>
      </c>
      <c r="AW10" s="6" t="n">
        <v>28</v>
      </c>
      <c r="AX10" s="6" t="n">
        <v>29</v>
      </c>
      <c r="AY10" s="6" t="n">
        <v>30</v>
      </c>
      <c r="AZ10" s="6" t="n">
        <v>31</v>
      </c>
    </row>
    <row r="11" ht="15.75" customHeight="1" s="12">
      <c r="A11" s="5" t="inlineStr">
        <is>
          <t>Bust</t>
        </is>
      </c>
      <c r="B11" s="5">
        <f>(SUM(D11:K11)+4*L11+AH11)/13</f>
        <v/>
      </c>
      <c r="C11" s="5">
        <f>(SUM(E11:L11)+4*M11+AI11)/13</f>
        <v/>
      </c>
      <c r="D11" s="5">
        <f>(SUM(F11:M11)+4*N11+AJ11)/13</f>
        <v/>
      </c>
      <c r="E11" s="5">
        <f>(SUM(G11:N11)+4*O11+AK11)/13</f>
        <v/>
      </c>
      <c r="F11" s="5">
        <f>(SUM(H11:O11)+4*P11+AL11)/13</f>
        <v/>
      </c>
      <c r="G11" s="5">
        <f>(SUM(I11:P11)+4*Q11+AM11)/13</f>
        <v/>
      </c>
      <c r="H11" s="5">
        <f>(SUM(J11:Q11)+4*R11+AN11)/13</f>
        <v/>
      </c>
      <c r="I11" s="5">
        <f>(SUM(K11:R11)+4*S11+AO11)/13</f>
        <v/>
      </c>
      <c r="J11" s="5">
        <f>(SUM(L11:S11)+4*T11+AP11)/13</f>
        <v/>
      </c>
      <c r="K11" s="5">
        <f>(SUM(M11:T11)+4*U11+AQ11)/13</f>
        <v/>
      </c>
      <c r="L11" s="5">
        <f>(SUM(N11:U11)+4*V11+AR11)/13</f>
        <v/>
      </c>
      <c r="M11" s="5">
        <f>(SUM(O11:V11)+4*W11+AS11)/13</f>
        <v/>
      </c>
      <c r="N11" s="5">
        <f>(SUM(P11:W11)+4*X11+AT11)/13</f>
        <v/>
      </c>
      <c r="O11" s="5">
        <f>(SUM(Q11:X11)+4*Y11+AU11)/13</f>
        <v/>
      </c>
      <c r="P11" s="5">
        <f>(SUM(R11:Y11)+4*Z11+AV11)/13</f>
        <v/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1</v>
      </c>
      <c r="AD11" s="5" t="n">
        <v>1</v>
      </c>
      <c r="AE11" s="5" t="n">
        <v>1</v>
      </c>
      <c r="AG11" s="5">
        <f>(SUM(AH11:AP11)+4*AQ11)/13</f>
        <v/>
      </c>
      <c r="AH11" s="5">
        <f>(SUM(AI11:AQ11)+4*AR11)/13</f>
        <v/>
      </c>
      <c r="AI11" s="5">
        <f>(SUM(AJ11:AR11)+4*AS11)/13</f>
        <v/>
      </c>
      <c r="AJ11" s="5">
        <f>(SUM(AK11:AS11)+4*AT11)/13</f>
        <v/>
      </c>
      <c r="AK11" s="5">
        <f>(SUM(AL11:AT11)+4*AU11)/13</f>
        <v/>
      </c>
      <c r="AQ11" s="5">
        <f>L11</f>
        <v/>
      </c>
      <c r="AR11" s="5">
        <f>M11</f>
        <v/>
      </c>
      <c r="AS11" s="5">
        <f>N11</f>
        <v/>
      </c>
      <c r="AT11" s="5">
        <f>O11</f>
        <v/>
      </c>
      <c r="AU11" s="5">
        <f>P11</f>
        <v/>
      </c>
      <c r="AV11" s="5">
        <f>Q11</f>
        <v/>
      </c>
      <c r="AW11" s="5">
        <f>R11</f>
        <v/>
      </c>
      <c r="AX11" s="5">
        <f>S11</f>
        <v/>
      </c>
      <c r="AY11" s="5">
        <f>T11</f>
        <v/>
      </c>
      <c r="AZ11" s="5">
        <f>U11</f>
        <v/>
      </c>
    </row>
    <row r="12" ht="15.75" customHeight="1" s="12">
      <c r="A12" s="5" t="n">
        <v>17</v>
      </c>
      <c r="B12" s="5">
        <f>(SUM(D12:K12)+4*L12+AH12)/13</f>
        <v/>
      </c>
      <c r="C12" s="5">
        <f>(SUM(E12:L12)+4*M12+AI12)/13</f>
        <v/>
      </c>
      <c r="D12" s="5">
        <f>(SUM(F12:M12)+4*N12+AJ12)/13</f>
        <v/>
      </c>
      <c r="E12" s="5">
        <f>(SUM(G12:N12)+4*O12+AK12)/13</f>
        <v/>
      </c>
      <c r="F12" s="5">
        <f>(SUM(H12:O12)+4*P12+AL12)/13</f>
        <v/>
      </c>
      <c r="G12" s="5">
        <f>(SUM(I12:P12)+4*Q12+AM12)/13</f>
        <v/>
      </c>
      <c r="H12" s="5">
        <f>(SUM(J12:Q12)+4*R12+AN12)/13</f>
        <v/>
      </c>
      <c r="I12" s="5">
        <f>(SUM(K12:R12)+4*S12+AO12)/13</f>
        <v/>
      </c>
      <c r="J12" s="5">
        <f>(SUM(L12:S12)+4*T12+AP12)/13</f>
        <v/>
      </c>
      <c r="K12" s="5">
        <f>(SUM(M12:T12)+4*U12+AQ12)/13</f>
        <v/>
      </c>
      <c r="L12" s="5">
        <f>(SUM(N12:U12)+4*V12+AR12)/13</f>
        <v/>
      </c>
      <c r="M12" s="5">
        <f>(SUM(O12:V12)+4*W12+AS12)/13</f>
        <v/>
      </c>
      <c r="N12" s="5">
        <f>(SUM(P12:W12)+4*X12+AT12)/13</f>
        <v/>
      </c>
      <c r="O12" s="5">
        <f>(SUM(Q12:X12)+4*Y12+AU12)/13</f>
        <v/>
      </c>
      <c r="P12" s="5">
        <f>(SUM(R12:Y12)+4*Z12+AV12)/13</f>
        <v/>
      </c>
      <c r="Q12" s="5" t="n">
        <v>1</v>
      </c>
      <c r="AG12" s="5">
        <f>(SUM(AH12:AP12)+4*AQ12)/13</f>
        <v/>
      </c>
      <c r="AH12" s="5">
        <f>(SUM(AI12:AQ12)+4*AR12)/13</f>
        <v/>
      </c>
      <c r="AI12" s="5">
        <f>(SUM(AJ12:AR12)+4*AS12)/13</f>
        <v/>
      </c>
      <c r="AJ12" s="5">
        <f>(SUM(AK12:AS12)+4*AT12)/13</f>
        <v/>
      </c>
      <c r="AK12" s="5">
        <f>(SUM(AL12:AT12)+4*AU12)/13</f>
        <v/>
      </c>
      <c r="AL12" s="5" t="n">
        <v>1</v>
      </c>
      <c r="AQ12" s="5">
        <f>L12</f>
        <v/>
      </c>
      <c r="AR12" s="5">
        <f>M12</f>
        <v/>
      </c>
      <c r="AS12" s="5">
        <f>N12</f>
        <v/>
      </c>
      <c r="AT12" s="5">
        <f>O12</f>
        <v/>
      </c>
      <c r="AU12" s="5">
        <f>P12</f>
        <v/>
      </c>
      <c r="AV12" s="5">
        <f>Q12</f>
        <v/>
      </c>
      <c r="AW12" s="5">
        <f>R12</f>
        <v/>
      </c>
      <c r="AX12" s="5">
        <f>S12</f>
        <v/>
      </c>
      <c r="AY12" s="5">
        <f>T12</f>
        <v/>
      </c>
      <c r="AZ12" s="5">
        <f>U12</f>
        <v/>
      </c>
    </row>
    <row r="13" ht="15.75" customHeight="1" s="12">
      <c r="A13" s="5" t="n">
        <v>18</v>
      </c>
      <c r="B13" s="5">
        <f>(SUM(D13:K13)+4*L13+AH13)/13</f>
        <v/>
      </c>
      <c r="C13" s="5">
        <f>(SUM(E13:L13)+4*M13+AI13)/13</f>
        <v/>
      </c>
      <c r="D13" s="5">
        <f>(SUM(F13:M13)+4*N13+AJ13)/13</f>
        <v/>
      </c>
      <c r="E13" s="5">
        <f>(SUM(G13:N13)+4*O13+AK13)/13</f>
        <v/>
      </c>
      <c r="F13" s="5">
        <f>(SUM(H13:O13)+4*P13+AL13)/13</f>
        <v/>
      </c>
      <c r="G13" s="5">
        <f>(SUM(I13:P13)+4*Q13+AM13)/13</f>
        <v/>
      </c>
      <c r="H13" s="5">
        <f>(SUM(J13:Q13)+4*R13+AN13)/13</f>
        <v/>
      </c>
      <c r="I13" s="5">
        <f>(SUM(K13:R13)+4*S13+AO13)/13</f>
        <v/>
      </c>
      <c r="J13" s="5">
        <f>(SUM(L13:S13)+4*T13+AP13)/13</f>
        <v/>
      </c>
      <c r="K13" s="5">
        <f>(SUM(M13:T13)+4*U13+AQ13)/13</f>
        <v/>
      </c>
      <c r="L13" s="5">
        <f>(SUM(N13:U13)+4*V13+AR13)/13</f>
        <v/>
      </c>
      <c r="M13" s="5">
        <f>(SUM(O13:V13)+4*W13+AS13)/13</f>
        <v/>
      </c>
      <c r="N13" s="5">
        <f>(SUM(P13:W13)+4*X13+AT13)/13</f>
        <v/>
      </c>
      <c r="O13" s="5">
        <f>(SUM(Q13:X13)+4*Y13+AU13)/13</f>
        <v/>
      </c>
      <c r="P13" s="5">
        <f>(SUM(R13:Y13)+4*Z13+AV13)/13</f>
        <v/>
      </c>
      <c r="R13" s="5" t="n">
        <v>1</v>
      </c>
      <c r="AG13" s="5">
        <f>(SUM(AH13:AP13)+4*AQ13)/13</f>
        <v/>
      </c>
      <c r="AH13" s="5">
        <f>(SUM(AI13:AQ13)+4*AR13)/13</f>
        <v/>
      </c>
      <c r="AI13" s="5">
        <f>(SUM(AJ13:AR13)+4*AS13)/13</f>
        <v/>
      </c>
      <c r="AJ13" s="5">
        <f>(SUM(AK13:AS13)+4*AT13)/13</f>
        <v/>
      </c>
      <c r="AK13" s="5">
        <f>(SUM(AL13:AT13)+4*AU13)/13</f>
        <v/>
      </c>
      <c r="AM13" s="5" t="n">
        <v>1</v>
      </c>
      <c r="AQ13" s="5">
        <f>L13</f>
        <v/>
      </c>
      <c r="AR13" s="5">
        <f>M13</f>
        <v/>
      </c>
      <c r="AS13" s="5">
        <f>N13</f>
        <v/>
      </c>
      <c r="AT13" s="5">
        <f>O13</f>
        <v/>
      </c>
      <c r="AU13" s="5">
        <f>P13</f>
        <v/>
      </c>
      <c r="AV13" s="5">
        <f>Q13</f>
        <v/>
      </c>
      <c r="AW13" s="5">
        <f>R13</f>
        <v/>
      </c>
      <c r="AX13" s="5">
        <f>S13</f>
        <v/>
      </c>
      <c r="AY13" s="5">
        <f>T13</f>
        <v/>
      </c>
      <c r="AZ13" s="5">
        <f>U13</f>
        <v/>
      </c>
    </row>
    <row r="14" ht="15.75" customHeight="1" s="12">
      <c r="A14" s="5" t="n">
        <v>19</v>
      </c>
      <c r="B14" s="5">
        <f>(SUM(D14:K14)+4*L14+AH14)/13</f>
        <v/>
      </c>
      <c r="C14" s="5">
        <f>(SUM(E14:L14)+4*M14+AI14)/13</f>
        <v/>
      </c>
      <c r="D14" s="5">
        <f>(SUM(F14:M14)+4*N14+AJ14)/13</f>
        <v/>
      </c>
      <c r="E14" s="5">
        <f>(SUM(G14:N14)+4*O14+AK14)/13</f>
        <v/>
      </c>
      <c r="F14" s="5">
        <f>(SUM(H14:O14)+4*P14+AL14)/13</f>
        <v/>
      </c>
      <c r="G14" s="5">
        <f>(SUM(I14:P14)+4*Q14+AM14)/13</f>
        <v/>
      </c>
      <c r="H14" s="5">
        <f>(SUM(J14:Q14)+4*R14+AN14)/13</f>
        <v/>
      </c>
      <c r="I14" s="5">
        <f>(SUM(K14:R14)+4*S14+AO14)/13</f>
        <v/>
      </c>
      <c r="J14" s="5">
        <f>(SUM(L14:S14)+4*T14+AP14)/13</f>
        <v/>
      </c>
      <c r="K14" s="5">
        <f>(SUM(M14:T14)+4*U14+AQ14)/13</f>
        <v/>
      </c>
      <c r="L14" s="5">
        <f>(SUM(N14:U14)+4*V14+AR14)/13</f>
        <v/>
      </c>
      <c r="M14" s="5">
        <f>(SUM(O14:V14)+4*W14+AS14)/13</f>
        <v/>
      </c>
      <c r="N14" s="5">
        <f>(SUM(P14:W14)+4*X14+AT14)/13</f>
        <v/>
      </c>
      <c r="O14" s="5">
        <f>(SUM(Q14:X14)+4*Y14+AU14)/13</f>
        <v/>
      </c>
      <c r="P14" s="5">
        <f>(SUM(R14:Y14)+4*Z14+AV14)/13</f>
        <v/>
      </c>
      <c r="S14" s="5" t="n">
        <v>1</v>
      </c>
      <c r="AG14" s="5">
        <f>(SUM(AH14:AP14)+4*AQ14)/13</f>
        <v/>
      </c>
      <c r="AH14" s="5">
        <f>(SUM(AI14:AQ14)+4*AR14)/13</f>
        <v/>
      </c>
      <c r="AI14" s="5">
        <f>(SUM(AJ14:AR14)+4*AS14)/13</f>
        <v/>
      </c>
      <c r="AJ14" s="5">
        <f>(SUM(AK14:AS14)+4*AT14)/13</f>
        <v/>
      </c>
      <c r="AK14" s="5">
        <f>(SUM(AL14:AT14)+4*AU14)/13</f>
        <v/>
      </c>
      <c r="AN14" s="5" t="n">
        <v>1</v>
      </c>
      <c r="AQ14" s="5">
        <f>L14</f>
        <v/>
      </c>
      <c r="AR14" s="5">
        <f>M14</f>
        <v/>
      </c>
      <c r="AS14" s="5">
        <f>N14</f>
        <v/>
      </c>
      <c r="AT14" s="5">
        <f>O14</f>
        <v/>
      </c>
      <c r="AU14" s="5">
        <f>P14</f>
        <v/>
      </c>
      <c r="AV14" s="5">
        <f>Q14</f>
        <v/>
      </c>
      <c r="AW14" s="5">
        <f>R14</f>
        <v/>
      </c>
      <c r="AX14" s="5">
        <f>S14</f>
        <v/>
      </c>
      <c r="AY14" s="5">
        <f>T14</f>
        <v/>
      </c>
      <c r="AZ14" s="5">
        <f>U14</f>
        <v/>
      </c>
    </row>
    <row r="15" ht="15.75" customHeight="1" s="12">
      <c r="A15" s="5" t="n">
        <v>20</v>
      </c>
      <c r="B15" s="5">
        <f>(SUM(D15:K15)+4*L15+AH15)/13</f>
        <v/>
      </c>
      <c r="C15" s="5">
        <f>(SUM(E15:L15)+4*M15+AI15)/13</f>
        <v/>
      </c>
      <c r="D15" s="5">
        <f>(SUM(F15:M15)+4*N15+AJ15)/13</f>
        <v/>
      </c>
      <c r="E15" s="5">
        <f>(SUM(G15:N15)+4*O15+AK15)/13</f>
        <v/>
      </c>
      <c r="F15" s="5">
        <f>(SUM(H15:O15)+4*P15+AL15)/13</f>
        <v/>
      </c>
      <c r="G15" s="5">
        <f>(SUM(I15:P15)+4*Q15+AM15)/13</f>
        <v/>
      </c>
      <c r="H15" s="5">
        <f>(SUM(J15:Q15)+4*R15+AN15)/13</f>
        <v/>
      </c>
      <c r="I15" s="5">
        <f>(SUM(K15:R15)+4*S15+AO15)/13</f>
        <v/>
      </c>
      <c r="J15" s="5">
        <f>(SUM(L15:S15)+4*T15+AP15)/13</f>
        <v/>
      </c>
      <c r="K15" s="5">
        <f>(SUM(M15:T15)+4*U15+AQ15)/13</f>
        <v/>
      </c>
      <c r="L15" s="5">
        <f>(SUM(N15:U15)+4*V15+AR15)/13</f>
        <v/>
      </c>
      <c r="M15" s="5">
        <f>(SUM(O15:V15)+4*W15+AS15)/13</f>
        <v/>
      </c>
      <c r="N15" s="5">
        <f>(SUM(P15:W15)+4*X15+AT15)/13</f>
        <v/>
      </c>
      <c r="O15" s="5">
        <f>(SUM(Q15:X15)+4*Y15+AU15)/13</f>
        <v/>
      </c>
      <c r="P15" s="5">
        <f>(SUM(R15:Y15)+4*Z15+AV15)/13</f>
        <v/>
      </c>
      <c r="T15" s="5" t="n">
        <v>1</v>
      </c>
      <c r="AG15" s="5">
        <f>(SUM(AH15:AP15)+4*AQ15)/13</f>
        <v/>
      </c>
      <c r="AH15" s="5">
        <f>(SUM(AI15:AQ15)+4*AR15)/13</f>
        <v/>
      </c>
      <c r="AI15" s="5">
        <f>(SUM(AJ15:AR15)+4*AS15)/13</f>
        <v/>
      </c>
      <c r="AJ15" s="5">
        <f>(SUM(AK15:AS15)+4*AT15)/13</f>
        <v/>
      </c>
      <c r="AK15" s="5">
        <f>(SUM(AL15:AT15)+4*AU15)/13</f>
        <v/>
      </c>
      <c r="AO15" s="5" t="n">
        <v>1</v>
      </c>
      <c r="AQ15" s="5">
        <f>L15</f>
        <v/>
      </c>
      <c r="AR15" s="5">
        <f>M15</f>
        <v/>
      </c>
      <c r="AS15" s="5">
        <f>N15</f>
        <v/>
      </c>
      <c r="AT15" s="5">
        <f>O15</f>
        <v/>
      </c>
      <c r="AU15" s="5">
        <f>P15</f>
        <v/>
      </c>
      <c r="AV15" s="5">
        <f>Q15</f>
        <v/>
      </c>
      <c r="AW15" s="5">
        <f>R15</f>
        <v/>
      </c>
      <c r="AX15" s="5">
        <f>S15</f>
        <v/>
      </c>
      <c r="AY15" s="5">
        <f>T15</f>
        <v/>
      </c>
      <c r="AZ15" s="5">
        <f>U15</f>
        <v/>
      </c>
    </row>
    <row r="16" ht="15.75" customHeight="1" s="12">
      <c r="A16" s="5" t="n">
        <v>21</v>
      </c>
      <c r="B16" s="5">
        <f>(SUM(D16:K16)+4*L16+AH16)/13</f>
        <v/>
      </c>
      <c r="C16" s="5">
        <f>(SUM(E16:L16)+4*M16+AI16)/13</f>
        <v/>
      </c>
      <c r="D16" s="5">
        <f>(SUM(F16:M16)+4*N16+AJ16)/13</f>
        <v/>
      </c>
      <c r="E16" s="5">
        <f>(SUM(G16:N16)+4*O16+AK16)/13</f>
        <v/>
      </c>
      <c r="F16" s="5">
        <f>(SUM(H16:O16)+4*P16+AL16)/13</f>
        <v/>
      </c>
      <c r="G16" s="5">
        <f>(SUM(I16:P16)+4*Q16+AM16)/13</f>
        <v/>
      </c>
      <c r="H16" s="5">
        <f>(SUM(J16:Q16)+4*R16+AN16)/13</f>
        <v/>
      </c>
      <c r="I16" s="5">
        <f>(SUM(K16:R16)+4*S16+AO16)/13</f>
        <v/>
      </c>
      <c r="J16" s="5">
        <f>(SUM(L16:S16)+4*T16+AP16)/13</f>
        <v/>
      </c>
      <c r="K16" s="5">
        <f>(SUM(M16:T16)+4*U16+AQ16)/13</f>
        <v/>
      </c>
      <c r="L16" s="5">
        <f>(SUM(N16:U16)+4*V16+AR16)/13</f>
        <v/>
      </c>
      <c r="M16" s="5">
        <f>(SUM(O16:V16)+4*W16+AS16)/13</f>
        <v/>
      </c>
      <c r="N16" s="5">
        <f>(SUM(P16:W16)+4*X16+AT16)/13</f>
        <v/>
      </c>
      <c r="O16" s="5">
        <f>(SUM(Q16:X16)+4*Y16+AU16)/13</f>
        <v/>
      </c>
      <c r="P16" s="5">
        <f>(SUM(R16:Y16)+4*Z16+AV16)/13</f>
        <v/>
      </c>
      <c r="U16" s="5" t="n">
        <v>1</v>
      </c>
      <c r="AG16" s="5">
        <f>(SUM(AH16:AP16)+4*AQ16)/13</f>
        <v/>
      </c>
      <c r="AH16" s="5">
        <f>(SUM(AI16:AQ16)+4*AR16)/13</f>
        <v/>
      </c>
      <c r="AI16" s="5">
        <f>(SUM(AJ16:AR16)+4*AS16)/13</f>
        <v/>
      </c>
      <c r="AJ16" s="5">
        <f>(SUM(AK16:AS16)+4*AT16)/13</f>
        <v/>
      </c>
      <c r="AK16" s="5">
        <f>(SUM(AL16:AT16)+4*AU16)/13</f>
        <v/>
      </c>
      <c r="AP16" s="5" t="n">
        <v>1</v>
      </c>
      <c r="AQ16" s="5">
        <f>L16</f>
        <v/>
      </c>
      <c r="AR16" s="5">
        <f>M16</f>
        <v/>
      </c>
      <c r="AS16" s="5">
        <f>N16</f>
        <v/>
      </c>
      <c r="AT16" s="5">
        <f>O16</f>
        <v/>
      </c>
      <c r="AU16" s="5">
        <f>P16</f>
        <v/>
      </c>
      <c r="AV16" s="5">
        <f>Q16</f>
        <v/>
      </c>
      <c r="AW16" s="5">
        <f>R16</f>
        <v/>
      </c>
      <c r="AX16" s="5">
        <f>S16</f>
        <v/>
      </c>
      <c r="AY16" s="5">
        <f>T16</f>
        <v/>
      </c>
      <c r="AZ16" s="5">
        <f>U16</f>
        <v/>
      </c>
    </row>
    <row r="17" ht="15.75" customHeight="1" s="12">
      <c r="A17" s="5" t="inlineStr">
        <is>
          <t>TOTAL</t>
        </is>
      </c>
      <c r="B17" s="5">
        <f>SUM(B11:B16)</f>
        <v/>
      </c>
      <c r="C17" s="5">
        <f>SUM(C11:C16)</f>
        <v/>
      </c>
      <c r="D17" s="5">
        <f>SUM(D11:D16)</f>
        <v/>
      </c>
      <c r="E17" s="5">
        <f>SUM(E11:E16)</f>
        <v/>
      </c>
      <c r="F17" s="5">
        <f>SUM(F11:F16)</f>
        <v/>
      </c>
      <c r="G17" s="5">
        <f>SUM(G11:G16)</f>
        <v/>
      </c>
      <c r="H17" s="5">
        <f>SUM(H11:H16)</f>
        <v/>
      </c>
      <c r="I17" s="5">
        <f>SUM(I11:I16)</f>
        <v/>
      </c>
      <c r="J17" s="5">
        <f>SUM(J11:J16)</f>
        <v/>
      </c>
      <c r="K17" s="5">
        <f>SUM(K11:K16)</f>
        <v/>
      </c>
      <c r="L17" s="5">
        <f>SUM(L11:L16)</f>
        <v/>
      </c>
      <c r="M17" s="5">
        <f>SUM(M11:M16)</f>
        <v/>
      </c>
      <c r="N17" s="5">
        <f>SUM(N11:N16)</f>
        <v/>
      </c>
      <c r="O17" s="5">
        <f>SUM(O11:O16)</f>
        <v/>
      </c>
      <c r="P17" s="5">
        <f>SUM(P11:P16)</f>
        <v/>
      </c>
      <c r="Q17" s="5">
        <f>SUM(Q11:Q16)</f>
        <v/>
      </c>
      <c r="R17" s="5">
        <f>SUM(R11:R16)</f>
        <v/>
      </c>
      <c r="S17" s="5">
        <f>SUM(S11:S16)</f>
        <v/>
      </c>
      <c r="T17" s="5">
        <f>SUM(T11:T16)</f>
        <v/>
      </c>
      <c r="U17" s="5">
        <f>SUM(U11:U16)</f>
        <v/>
      </c>
      <c r="V17" s="5">
        <f>SUM(V11:V16)</f>
        <v/>
      </c>
      <c r="W17" s="5">
        <f>SUM(W11:W16)</f>
        <v/>
      </c>
      <c r="X17" s="5">
        <f>SUM(X11:X16)</f>
        <v/>
      </c>
      <c r="Y17" s="5">
        <f>SUM(Y11:Y16)</f>
        <v/>
      </c>
      <c r="Z17" s="5">
        <f>SUM(Z11:Z16)</f>
        <v/>
      </c>
      <c r="AA17" s="5">
        <f>SUM(AA11:AA16)</f>
        <v/>
      </c>
      <c r="AB17" s="5">
        <f>SUM(AB11:AB16)</f>
        <v/>
      </c>
      <c r="AC17" s="5">
        <f>SUM(AC11:AC16)</f>
        <v/>
      </c>
      <c r="AD17" s="5">
        <f>SUM(AD11:AD16)</f>
        <v/>
      </c>
      <c r="AE17" s="5">
        <f>SUM(AE11:AE16)</f>
        <v/>
      </c>
      <c r="AF17" s="5">
        <f>SUM(AF11:AF16)</f>
        <v/>
      </c>
      <c r="AG17" s="5">
        <f>SUM(AG11:AG16)</f>
        <v/>
      </c>
      <c r="AH17" s="5">
        <f>SUM(AH11:AH16)</f>
        <v/>
      </c>
      <c r="AI17" s="5">
        <f>SUM(AI11:AI16)</f>
        <v/>
      </c>
      <c r="AJ17" s="5">
        <f>SUM(AJ11:AJ16)</f>
        <v/>
      </c>
      <c r="AK17" s="5">
        <f>SUM(AK11:AK16)</f>
        <v/>
      </c>
      <c r="AL17" s="5">
        <f>SUM(AL11:AL16)</f>
        <v/>
      </c>
      <c r="AM17" s="5">
        <f>SUM(AM11:AM16)</f>
        <v/>
      </c>
      <c r="AN17" s="5">
        <f>SUM(AN11:AN16)</f>
        <v/>
      </c>
      <c r="AO17" s="5">
        <f>SUM(AO11:AO16)</f>
        <v/>
      </c>
      <c r="AP17" s="5">
        <f>SUM(AP11:AP16)</f>
        <v/>
      </c>
      <c r="AQ17" s="5">
        <f>SUM(AQ11:AQ16)</f>
        <v/>
      </c>
      <c r="AR17" s="5">
        <f>SUM(AR11:AR16)</f>
        <v/>
      </c>
      <c r="AS17" s="5">
        <f>SUM(AS11:AS16)</f>
        <v/>
      </c>
      <c r="AT17" s="5">
        <f>SUM(AT11:AT16)</f>
        <v/>
      </c>
      <c r="AU17" s="5">
        <f>SUM(AU11:AU16)</f>
        <v/>
      </c>
      <c r="AV17" s="5">
        <f>SUM(AV11:AV16)</f>
        <v/>
      </c>
      <c r="AW17" s="5">
        <f>SUM(AW11:AW16)</f>
        <v/>
      </c>
      <c r="AX17" s="5">
        <f>SUM(AX11:AX16)</f>
        <v/>
      </c>
      <c r="AY17" s="5">
        <f>SUM(AY11:AY16)</f>
        <v/>
      </c>
      <c r="AZ17" s="5">
        <f>SUM(AZ11:AZ16)</f>
        <v/>
      </c>
    </row>
    <row r="18" ht="15.75" customHeight="1" s="12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(SUM(HS!B4:B11)+4*HS!B12+HS!B35)/13</f>
        <v/>
      </c>
      <c r="C2" s="5">
        <f>(SUM(HS!C4:C11)+4*HS!C12+HS!C35)/13</f>
        <v/>
      </c>
      <c r="D2" s="5">
        <f>(SUM(HS!D4:D11)+4*HS!D12+HS!D35)/13</f>
        <v/>
      </c>
      <c r="E2" s="5">
        <f>(SUM(HS!E4:E11)+4*HS!E12+HS!E35)/13</f>
        <v/>
      </c>
      <c r="F2" s="5">
        <f>(SUM(HS!F4:F11)+4*HS!F12+HS!F35)/13</f>
        <v/>
      </c>
      <c r="G2" s="5">
        <f>(SUM(HS!G4:G11)+4*HS!G12+HS!G35)/13</f>
        <v/>
      </c>
      <c r="H2" s="5">
        <f>(SUM(HS!H4:H11)+4*HS!H12+HS!H35)/13</f>
        <v/>
      </c>
      <c r="I2" s="5">
        <f>(SUM(HS!I4:I11)+4*HS!I12+HS!I35)/13</f>
        <v/>
      </c>
      <c r="J2" s="5">
        <f>(SUM(HS!J4:J11)+4*HS!J12+HS!J35)/13</f>
        <v/>
      </c>
      <c r="K2" s="5">
        <f>(SUM(HS!K4:K11)+4*HS!K12+HS!K35)/13</f>
        <v/>
      </c>
    </row>
    <row r="3" ht="15.75" customHeight="1" s="12">
      <c r="A3" s="5" t="n">
        <v>5</v>
      </c>
      <c r="B3" s="5">
        <f>(SUM(HS!B5:B12)+4*HS!B13+HS!B36)/13</f>
        <v/>
      </c>
      <c r="C3" s="5">
        <f>(SUM(HS!C5:C12)+4*HS!C13+HS!C36)/13</f>
        <v/>
      </c>
      <c r="D3" s="5">
        <f>(SUM(HS!D5:D12)+4*HS!D13+HS!D36)/13</f>
        <v/>
      </c>
      <c r="E3" s="5">
        <f>(SUM(HS!E5:E12)+4*HS!E13+HS!E36)/13</f>
        <v/>
      </c>
      <c r="F3" s="5">
        <f>(SUM(HS!F5:F12)+4*HS!F13+HS!F36)/13</f>
        <v/>
      </c>
      <c r="G3" s="5">
        <f>(SUM(HS!G5:G12)+4*HS!G13+HS!G36)/13</f>
        <v/>
      </c>
      <c r="H3" s="5">
        <f>(SUM(HS!H5:H12)+4*HS!H13+HS!H36)/13</f>
        <v/>
      </c>
      <c r="I3" s="5">
        <f>(SUM(HS!I5:I12)+4*HS!I13+HS!I36)/13</f>
        <v/>
      </c>
      <c r="J3" s="5">
        <f>(SUM(HS!J5:J12)+4*HS!J13+HS!J36)/13</f>
        <v/>
      </c>
      <c r="K3" s="5">
        <f>(SUM(HS!K5:K12)+4*HS!K13+HS!K36)/13</f>
        <v/>
      </c>
    </row>
    <row r="4" ht="15.75" customHeight="1" s="12">
      <c r="A4" s="5" t="n">
        <v>6</v>
      </c>
      <c r="B4" s="5">
        <f>(SUM(HS!B6:B13)+4*HS!B14+HS!B37)/13</f>
        <v/>
      </c>
      <c r="C4" s="5">
        <f>(SUM(HS!C6:C13)+4*HS!C14+HS!C37)/13</f>
        <v/>
      </c>
      <c r="D4" s="5">
        <f>(SUM(HS!D6:D13)+4*HS!D14+HS!D37)/13</f>
        <v/>
      </c>
      <c r="E4" s="5">
        <f>(SUM(HS!E6:E13)+4*HS!E14+HS!E37)/13</f>
        <v/>
      </c>
      <c r="F4" s="5">
        <f>(SUM(HS!F6:F13)+4*HS!F14+HS!F37)/13</f>
        <v/>
      </c>
      <c r="G4" s="5">
        <f>(SUM(HS!G6:G13)+4*HS!G14+HS!G37)/13</f>
        <v/>
      </c>
      <c r="H4" s="5">
        <f>(SUM(HS!H6:H13)+4*HS!H14+HS!H37)/13</f>
        <v/>
      </c>
      <c r="I4" s="5">
        <f>(SUM(HS!I6:I13)+4*HS!I14+HS!I37)/13</f>
        <v/>
      </c>
      <c r="J4" s="5">
        <f>(SUM(HS!J6:J13)+4*HS!J14+HS!J37)/13</f>
        <v/>
      </c>
      <c r="K4" s="5">
        <f>(SUM(HS!K6:K13)+4*HS!K14+HS!K37)/13</f>
        <v/>
      </c>
    </row>
    <row r="5" ht="15.75" customHeight="1" s="12">
      <c r="A5" s="5" t="n">
        <v>7</v>
      </c>
      <c r="B5" s="5">
        <f>(SUM(HS!B7:B14)+4*HS!B15+HS!B38)/13</f>
        <v/>
      </c>
      <c r="C5" s="5">
        <f>(SUM(HS!C7:C14)+4*HS!C15+HS!C38)/13</f>
        <v/>
      </c>
      <c r="D5" s="5">
        <f>(SUM(HS!D7:D14)+4*HS!D15+HS!D38)/13</f>
        <v/>
      </c>
      <c r="E5" s="5">
        <f>(SUM(HS!E7:E14)+4*HS!E15+HS!E38)/13</f>
        <v/>
      </c>
      <c r="F5" s="5">
        <f>(SUM(HS!F7:F14)+4*HS!F15+HS!F38)/13</f>
        <v/>
      </c>
      <c r="G5" s="5">
        <f>(SUM(HS!G7:G14)+4*HS!G15+HS!G38)/13</f>
        <v/>
      </c>
      <c r="H5" s="5">
        <f>(SUM(HS!H7:H14)+4*HS!H15+HS!H38)/13</f>
        <v/>
      </c>
      <c r="I5" s="5">
        <f>(SUM(HS!I7:I14)+4*HS!I15+HS!I38)/13</f>
        <v/>
      </c>
      <c r="J5" s="5">
        <f>(SUM(HS!J7:J14)+4*HS!J15+HS!J38)/13</f>
        <v/>
      </c>
      <c r="K5" s="5">
        <f>(SUM(HS!K7:K14)+4*HS!K15+HS!K38)/13</f>
        <v/>
      </c>
    </row>
    <row r="6" ht="15.75" customHeight="1" s="12">
      <c r="A6" s="5" t="n">
        <v>8</v>
      </c>
      <c r="B6" s="5">
        <f>(SUM(HS!B8:B15)+4*HS!B16+HS!B39)/13</f>
        <v/>
      </c>
      <c r="C6" s="5">
        <f>(SUM(HS!C8:C15)+4*HS!C16+HS!C39)/13</f>
        <v/>
      </c>
      <c r="D6" s="5">
        <f>(SUM(HS!D8:D15)+4*HS!D16+HS!D39)/13</f>
        <v/>
      </c>
      <c r="E6" s="5">
        <f>(SUM(HS!E8:E15)+4*HS!E16+HS!E39)/13</f>
        <v/>
      </c>
      <c r="F6" s="5">
        <f>(SUM(HS!F8:F15)+4*HS!F16+HS!F39)/13</f>
        <v/>
      </c>
      <c r="G6" s="5">
        <f>(SUM(HS!G8:G15)+4*HS!G16+HS!G39)/13</f>
        <v/>
      </c>
      <c r="H6" s="5">
        <f>(SUM(HS!H8:H15)+4*HS!H16+HS!H39)/13</f>
        <v/>
      </c>
      <c r="I6" s="5">
        <f>(SUM(HS!I8:I15)+4*HS!I16+HS!I39)/13</f>
        <v/>
      </c>
      <c r="J6" s="5">
        <f>(SUM(HS!J8:J15)+4*HS!J16+HS!J39)/13</f>
        <v/>
      </c>
      <c r="K6" s="5">
        <f>(SUM(HS!K8:K15)+4*HS!K16+HS!K39)/13</f>
        <v/>
      </c>
    </row>
    <row r="7" ht="15.75" customHeight="1" s="12">
      <c r="A7" s="5" t="n">
        <v>9</v>
      </c>
      <c r="B7" s="5">
        <f>(SUM(HS!B9:B16)+4*HS!B17+HS!B40)/13</f>
        <v/>
      </c>
      <c r="C7" s="5">
        <f>(SUM(HS!C9:C16)+4*HS!C17+HS!C40)/13</f>
        <v/>
      </c>
      <c r="D7" s="5">
        <f>(SUM(HS!D9:D16)+4*HS!D17+HS!D40)/13</f>
        <v/>
      </c>
      <c r="E7" s="5">
        <f>(SUM(HS!E9:E16)+4*HS!E17+HS!E40)/13</f>
        <v/>
      </c>
      <c r="F7" s="5">
        <f>(SUM(HS!F9:F16)+4*HS!F17+HS!F40)/13</f>
        <v/>
      </c>
      <c r="G7" s="5">
        <f>(SUM(HS!G9:G16)+4*HS!G17+HS!G40)/13</f>
        <v/>
      </c>
      <c r="H7" s="5">
        <f>(SUM(HS!H9:H16)+4*HS!H17+HS!H40)/13</f>
        <v/>
      </c>
      <c r="I7" s="5">
        <f>(SUM(HS!I9:I16)+4*HS!I17+HS!I40)/13</f>
        <v/>
      </c>
      <c r="J7" s="5">
        <f>(SUM(HS!J9:J16)+4*HS!J17+HS!J40)/13</f>
        <v/>
      </c>
      <c r="K7" s="5">
        <f>(SUM(HS!K9:K16)+4*HS!K17+HS!K40)/13</f>
        <v/>
      </c>
    </row>
    <row r="8" ht="15.75" customHeight="1" s="12">
      <c r="A8" s="5" t="n">
        <v>10</v>
      </c>
      <c r="B8" s="5">
        <f>(SUM(HS!B10:B17)+4*HS!B18+HS!B41)/13</f>
        <v/>
      </c>
      <c r="C8" s="5">
        <f>(SUM(HS!C10:C17)+4*HS!C18+HS!C41)/13</f>
        <v/>
      </c>
      <c r="D8" s="5">
        <f>(SUM(HS!D10:D17)+4*HS!D18+HS!D41)/13</f>
        <v/>
      </c>
      <c r="E8" s="5">
        <f>(SUM(HS!E10:E17)+4*HS!E18+HS!E41)/13</f>
        <v/>
      </c>
      <c r="F8" s="5">
        <f>(SUM(HS!F10:F17)+4*HS!F18+HS!F41)/13</f>
        <v/>
      </c>
      <c r="G8" s="5">
        <f>(SUM(HS!G10:G17)+4*HS!G18+HS!G41)/13</f>
        <v/>
      </c>
      <c r="H8" s="5">
        <f>(SUM(HS!H10:H17)+4*HS!H18+HS!H41)/13</f>
        <v/>
      </c>
      <c r="I8" s="5">
        <f>(SUM(HS!I10:I17)+4*HS!I18+HS!I41)/13</f>
        <v/>
      </c>
      <c r="J8" s="5">
        <f>(SUM(HS!J10:J17)+4*HS!J18+HS!J41)/13</f>
        <v/>
      </c>
      <c r="K8" s="5">
        <f>(SUM(HS!K10:K17)+4*HS!K18+HS!K41)/13</f>
        <v/>
      </c>
    </row>
    <row r="9" ht="15.75" customHeight="1" s="12">
      <c r="A9" s="5" t="n">
        <v>11</v>
      </c>
      <c r="B9" s="5">
        <f>(SUM(HS!B11:B18)+4*HS!B19+HS!B42)/13</f>
        <v/>
      </c>
      <c r="C9" s="5">
        <f>(SUM(HS!C11:C18)+4*HS!C19+HS!C42)/13</f>
        <v/>
      </c>
      <c r="D9" s="5">
        <f>(SUM(HS!D11:D18)+4*HS!D19+HS!D42)/13</f>
        <v/>
      </c>
      <c r="E9" s="5">
        <f>(SUM(HS!E11:E18)+4*HS!E19+HS!E42)/13</f>
        <v/>
      </c>
      <c r="F9" s="5">
        <f>(SUM(HS!F11:F18)+4*HS!F19+HS!F42)/13</f>
        <v/>
      </c>
      <c r="G9" s="5">
        <f>(SUM(HS!G11:G18)+4*HS!G19+HS!G42)/13</f>
        <v/>
      </c>
      <c r="H9" s="5">
        <f>(SUM(HS!H11:H18)+4*HS!H19+HS!H42)/13</f>
        <v/>
      </c>
      <c r="I9" s="5">
        <f>(SUM(HS!I11:I18)+4*HS!I19+HS!I42)/13</f>
        <v/>
      </c>
      <c r="J9" s="5">
        <f>(SUM(HS!J11:J18)+4*HS!J19+HS!J42)/13</f>
        <v/>
      </c>
      <c r="K9" s="5">
        <f>(SUM(HS!K11:K18)+4*HS!K19+HS!K42)/13</f>
        <v/>
      </c>
    </row>
    <row r="10" ht="15.75" customHeight="1" s="12">
      <c r="A10" s="5" t="n">
        <v>12</v>
      </c>
      <c r="B10" s="5">
        <f>(SUM(HS!B12:B19)+4*HS!B20+HS!B43)/13</f>
        <v/>
      </c>
      <c r="C10" s="5">
        <f>(SUM(HS!C12:C19)+4*HS!C20+HS!C43)/13</f>
        <v/>
      </c>
      <c r="D10" s="5">
        <f>(SUM(HS!D12:D19)+4*HS!D20+HS!D43)/13</f>
        <v/>
      </c>
      <c r="E10" s="5">
        <f>(SUM(HS!E12:E19)+4*HS!E20+HS!E43)/13</f>
        <v/>
      </c>
      <c r="F10" s="5">
        <f>(SUM(HS!F12:F19)+4*HS!F20+HS!F43)/13</f>
        <v/>
      </c>
      <c r="G10" s="5">
        <f>(SUM(HS!G12:G19)+4*HS!G20+HS!G43)/13</f>
        <v/>
      </c>
      <c r="H10" s="5">
        <f>(SUM(HS!H12:H19)+4*HS!H20+HS!H43)/13</f>
        <v/>
      </c>
      <c r="I10" s="5">
        <f>(SUM(HS!I12:I19)+4*HS!I20+HS!I43)/13</f>
        <v/>
      </c>
      <c r="J10" s="5">
        <f>(SUM(HS!J12:J19)+4*HS!J20+HS!J43)/13</f>
        <v/>
      </c>
      <c r="K10" s="5">
        <f>(SUM(HS!K12:K19)+4*HS!K20+HS!K43)/13</f>
        <v/>
      </c>
    </row>
    <row r="11" ht="15.75" customHeight="1" s="12">
      <c r="A11" s="5" t="n">
        <v>13</v>
      </c>
      <c r="B11" s="5">
        <f>(SUM(HS!B13:B20)+4*HS!B21+HS!B44)/13</f>
        <v/>
      </c>
      <c r="C11" s="5">
        <f>(SUM(HS!C13:C20)+4*HS!C21+HS!C44)/13</f>
        <v/>
      </c>
      <c r="D11" s="5">
        <f>(SUM(HS!D13:D20)+4*HS!D21+HS!D44)/13</f>
        <v/>
      </c>
      <c r="E11" s="5">
        <f>(SUM(HS!E13:E20)+4*HS!E21+HS!E44)/13</f>
        <v/>
      </c>
      <c r="F11" s="5">
        <f>(SUM(HS!F13:F20)+4*HS!F21+HS!F44)/13</f>
        <v/>
      </c>
      <c r="G11" s="5">
        <f>(SUM(HS!G13:G20)+4*HS!G21+HS!G44)/13</f>
        <v/>
      </c>
      <c r="H11" s="5">
        <f>(SUM(HS!H13:H20)+4*HS!H21+HS!H44)/13</f>
        <v/>
      </c>
      <c r="I11" s="5">
        <f>(SUM(HS!I13:I20)+4*HS!I21+HS!I44)/13</f>
        <v/>
      </c>
      <c r="J11" s="5">
        <f>(SUM(HS!J13:J20)+4*HS!J21+HS!J44)/13</f>
        <v/>
      </c>
      <c r="K11" s="5">
        <f>(SUM(HS!K13:K20)+4*HS!K21+HS!K44)/13</f>
        <v/>
      </c>
    </row>
    <row r="12" ht="15.75" customHeight="1" s="12">
      <c r="A12" s="5" t="n">
        <v>14</v>
      </c>
      <c r="B12" s="5">
        <f>(SUM(HS!B14:B21)+4*HS!B22+HS!B45)/13</f>
        <v/>
      </c>
      <c r="C12" s="5">
        <f>(SUM(HS!C14:C21)+4*HS!C22+HS!C45)/13</f>
        <v/>
      </c>
      <c r="D12" s="5">
        <f>(SUM(HS!D14:D21)+4*HS!D22+HS!D45)/13</f>
        <v/>
      </c>
      <c r="E12" s="5">
        <f>(SUM(HS!E14:E21)+4*HS!E22+HS!E45)/13</f>
        <v/>
      </c>
      <c r="F12" s="5">
        <f>(SUM(HS!F14:F21)+4*HS!F22+HS!F45)/13</f>
        <v/>
      </c>
      <c r="G12" s="5">
        <f>(SUM(HS!G14:G21)+4*HS!G22+HS!G45)/13</f>
        <v/>
      </c>
      <c r="H12" s="5">
        <f>(SUM(HS!H14:H21)+4*HS!H22+HS!H45)/13</f>
        <v/>
      </c>
      <c r="I12" s="5">
        <f>(SUM(HS!I14:I21)+4*HS!I22+HS!I45)/13</f>
        <v/>
      </c>
      <c r="J12" s="5">
        <f>(SUM(HS!J14:J21)+4*HS!J22+HS!J45)/13</f>
        <v/>
      </c>
      <c r="K12" s="5">
        <f>(SUM(HS!K14:K21)+4*HS!K22+HS!K45)/13</f>
        <v/>
      </c>
    </row>
    <row r="13" ht="15.75" customHeight="1" s="12">
      <c r="A13" s="5" t="n">
        <v>15</v>
      </c>
      <c r="B13" s="5">
        <f>(SUM(HS!B15:B22)+4*HS!B23+HS!B46)/13</f>
        <v/>
      </c>
      <c r="C13" s="5">
        <f>(SUM(HS!C15:C22)+4*HS!C23+HS!C46)/13</f>
        <v/>
      </c>
      <c r="D13" s="5">
        <f>(SUM(HS!D15:D22)+4*HS!D23+HS!D46)/13</f>
        <v/>
      </c>
      <c r="E13" s="5">
        <f>(SUM(HS!E15:E22)+4*HS!E23+HS!E46)/13</f>
        <v/>
      </c>
      <c r="F13" s="5">
        <f>(SUM(HS!F15:F22)+4*HS!F23+HS!F46)/13</f>
        <v/>
      </c>
      <c r="G13" s="5">
        <f>(SUM(HS!G15:G22)+4*HS!G23+HS!G46)/13</f>
        <v/>
      </c>
      <c r="H13" s="5">
        <f>(SUM(HS!H15:H22)+4*HS!H23+HS!H46)/13</f>
        <v/>
      </c>
      <c r="I13" s="5">
        <f>(SUM(HS!I15:I22)+4*HS!I23+HS!I46)/13</f>
        <v/>
      </c>
      <c r="J13" s="5">
        <f>(SUM(HS!J15:J22)+4*HS!J23+HS!J46)/13</f>
        <v/>
      </c>
      <c r="K13" s="5">
        <f>(SUM(HS!K15:K22)+4*HS!K23+HS!K46)/13</f>
        <v/>
      </c>
    </row>
    <row r="14" ht="15.75" customHeight="1" s="12">
      <c r="A14" s="5" t="n">
        <v>16</v>
      </c>
      <c r="B14" s="5">
        <f>(SUM(HS!B16:B23)+4*HS!B24+HS!B47)/13</f>
        <v/>
      </c>
      <c r="C14" s="5">
        <f>(SUM(HS!C16:C23)+4*HS!C24+HS!C47)/13</f>
        <v/>
      </c>
      <c r="D14" s="5">
        <f>(SUM(HS!D16:D23)+4*HS!D24+HS!D47)/13</f>
        <v/>
      </c>
      <c r="E14" s="5">
        <f>(SUM(HS!E16:E23)+4*HS!E24+HS!E47)/13</f>
        <v/>
      </c>
      <c r="F14" s="5">
        <f>(SUM(HS!F16:F23)+4*HS!F24+HS!F47)/13</f>
        <v/>
      </c>
      <c r="G14" s="5">
        <f>(SUM(HS!G16:G23)+4*HS!G24+HS!G47)/13</f>
        <v/>
      </c>
      <c r="H14" s="5">
        <f>(SUM(HS!H16:H23)+4*HS!H24+HS!H47)/13</f>
        <v/>
      </c>
      <c r="I14" s="5">
        <f>(SUM(HS!I16:I23)+4*HS!I24+HS!I47)/13</f>
        <v/>
      </c>
      <c r="J14" s="5">
        <f>(SUM(HS!J16:J23)+4*HS!J24+HS!J47)/13</f>
        <v/>
      </c>
      <c r="K14" s="5">
        <f>(SUM(HS!K16:K23)+4*HS!K24+HS!K47)/13</f>
        <v/>
      </c>
    </row>
    <row r="15" ht="15.75" customHeight="1" s="12">
      <c r="A15" s="5" t="n">
        <v>17</v>
      </c>
      <c r="B15" s="5">
        <f>(SUM(HS!B17:B24)+4*HS!B25+HS!B48)/13</f>
        <v/>
      </c>
      <c r="C15" s="5">
        <f>(SUM(HS!C17:C24)+4*HS!C25+HS!C48)/13</f>
        <v/>
      </c>
      <c r="D15" s="5">
        <f>(SUM(HS!D17:D24)+4*HS!D25+HS!D48)/13</f>
        <v/>
      </c>
      <c r="E15" s="5">
        <f>(SUM(HS!E17:E24)+4*HS!E25+HS!E48)/13</f>
        <v/>
      </c>
      <c r="F15" s="5">
        <f>(SUM(HS!F17:F24)+4*HS!F25+HS!F48)/13</f>
        <v/>
      </c>
      <c r="G15" s="5">
        <f>(SUM(HS!G17:G24)+4*HS!G25+HS!G48)/13</f>
        <v/>
      </c>
      <c r="H15" s="5">
        <f>(SUM(HS!H17:H24)+4*HS!H25+HS!H48)/13</f>
        <v/>
      </c>
      <c r="I15" s="5">
        <f>(SUM(HS!I17:I24)+4*HS!I25+HS!I48)/13</f>
        <v/>
      </c>
      <c r="J15" s="5">
        <f>(SUM(HS!J17:J24)+4*HS!J25+HS!J48)/13</f>
        <v/>
      </c>
      <c r="K15" s="5">
        <f>(SUM(HS!K17:K24)+4*HS!K25+HS!K48)/13</f>
        <v/>
      </c>
    </row>
    <row r="16" ht="15.75" customHeight="1" s="12">
      <c r="A16" s="5" t="n">
        <v>18</v>
      </c>
      <c r="B16" s="5">
        <f>(SUM(HS!B18:B25)+4*HS!B26+HS!B49)/13</f>
        <v/>
      </c>
      <c r="C16" s="5">
        <f>(SUM(HS!C18:C25)+4*HS!C26+HS!C49)/13</f>
        <v/>
      </c>
      <c r="D16" s="5">
        <f>(SUM(HS!D18:D25)+4*HS!D26+HS!D49)/13</f>
        <v/>
      </c>
      <c r="E16" s="5">
        <f>(SUM(HS!E18:E25)+4*HS!E26+HS!E49)/13</f>
        <v/>
      </c>
      <c r="F16" s="5">
        <f>(SUM(HS!F18:F25)+4*HS!F26+HS!F49)/13</f>
        <v/>
      </c>
      <c r="G16" s="5">
        <f>(SUM(HS!G18:G25)+4*HS!G26+HS!G49)/13</f>
        <v/>
      </c>
      <c r="H16" s="5">
        <f>(SUM(HS!H18:H25)+4*HS!H26+HS!H49)/13</f>
        <v/>
      </c>
      <c r="I16" s="5">
        <f>(SUM(HS!I18:I25)+4*HS!I26+HS!I49)/13</f>
        <v/>
      </c>
      <c r="J16" s="5">
        <f>(SUM(HS!J18:J25)+4*HS!J26+HS!J49)/13</f>
        <v/>
      </c>
      <c r="K16" s="5">
        <f>(SUM(HS!K18:K25)+4*HS!K26+HS!K49)/13</f>
        <v/>
      </c>
    </row>
    <row r="17" ht="15.75" customHeight="1" s="12">
      <c r="A17" s="5" t="n">
        <v>19</v>
      </c>
      <c r="B17" s="5">
        <f>(SUM(HS!B19:B26)+4*HS!B27+HS!B50)/13</f>
        <v/>
      </c>
      <c r="C17" s="5">
        <f>(SUM(HS!C19:C26)+4*HS!C27+HS!C50)/13</f>
        <v/>
      </c>
      <c r="D17" s="5">
        <f>(SUM(HS!D19:D26)+4*HS!D27+HS!D50)/13</f>
        <v/>
      </c>
      <c r="E17" s="5">
        <f>(SUM(HS!E19:E26)+4*HS!E27+HS!E50)/13</f>
        <v/>
      </c>
      <c r="F17" s="5">
        <f>(SUM(HS!F19:F26)+4*HS!F27+HS!F50)/13</f>
        <v/>
      </c>
      <c r="G17" s="5">
        <f>(SUM(HS!G19:G26)+4*HS!G27+HS!G50)/13</f>
        <v/>
      </c>
      <c r="H17" s="5">
        <f>(SUM(HS!H19:H26)+4*HS!H27+HS!H50)/13</f>
        <v/>
      </c>
      <c r="I17" s="5">
        <f>(SUM(HS!I19:I26)+4*HS!I27+HS!I50)/13</f>
        <v/>
      </c>
      <c r="J17" s="5">
        <f>(SUM(HS!J19:J26)+4*HS!J27+HS!J50)/13</f>
        <v/>
      </c>
      <c r="K17" s="5">
        <f>(SUM(HS!K19:K26)+4*HS!K27+HS!K50)/13</f>
        <v/>
      </c>
    </row>
    <row r="18" ht="15.75" customHeight="1" s="12">
      <c r="A18" s="5" t="n">
        <v>20</v>
      </c>
      <c r="B18" s="5">
        <f>(SUM(HS!B20:B27)+4*HS!B28+HS!B51)/13</f>
        <v/>
      </c>
      <c r="C18" s="5">
        <f>(SUM(HS!C20:C27)+4*HS!C28+HS!C51)/13</f>
        <v/>
      </c>
      <c r="D18" s="5">
        <f>(SUM(HS!D20:D27)+4*HS!D28+HS!D51)/13</f>
        <v/>
      </c>
      <c r="E18" s="5">
        <f>(SUM(HS!E20:E27)+4*HS!E28+HS!E51)/13</f>
        <v/>
      </c>
      <c r="F18" s="5">
        <f>(SUM(HS!F20:F27)+4*HS!F28+HS!F51)/13</f>
        <v/>
      </c>
      <c r="G18" s="5">
        <f>(SUM(HS!G20:G27)+4*HS!G28+HS!G51)/13</f>
        <v/>
      </c>
      <c r="H18" s="5">
        <f>(SUM(HS!H20:H27)+4*HS!H28+HS!H51)/13</f>
        <v/>
      </c>
      <c r="I18" s="5">
        <f>(SUM(HS!I20:I27)+4*HS!I28+HS!I51)/13</f>
        <v/>
      </c>
      <c r="J18" s="5">
        <f>(SUM(HS!J20:J27)+4*HS!J28+HS!J51)/13</f>
        <v/>
      </c>
      <c r="K18" s="5">
        <f>(SUM(HS!K20:K27)+4*HS!K28+HS!K51)/13</f>
        <v/>
      </c>
    </row>
    <row r="19" ht="15.75" customHeight="1" s="12">
      <c r="A19" s="5" t="n">
        <v>21</v>
      </c>
      <c r="B19" s="5" t="n">
        <v>-1</v>
      </c>
      <c r="C19" s="5" t="n">
        <v>-1</v>
      </c>
      <c r="D19" s="5" t="n">
        <v>-1</v>
      </c>
      <c r="E19" s="5" t="n">
        <v>-1</v>
      </c>
      <c r="F19" s="5" t="n">
        <v>-1</v>
      </c>
      <c r="G19" s="5" t="n">
        <v>-1</v>
      </c>
      <c r="H19" s="5" t="n">
        <v>-1</v>
      </c>
      <c r="I19" s="5" t="n">
        <v>-1</v>
      </c>
      <c r="J19" s="5" t="n">
        <v>-1</v>
      </c>
      <c r="K19" s="5" t="n">
        <v>-1</v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(SUM(HS!B33:B41)+4*HS!B42)/13</f>
        <v/>
      </c>
      <c r="C32" s="5">
        <f>(SUM(HS!C33:C41)+4*HS!C42)/13</f>
        <v/>
      </c>
      <c r="D32" s="5">
        <f>(SUM(HS!D33:D41)+4*HS!D42)/13</f>
        <v/>
      </c>
      <c r="E32" s="5">
        <f>(SUM(HS!E33:E41)+4*HS!E42)/13</f>
        <v/>
      </c>
      <c r="F32" s="5">
        <f>(SUM(HS!F33:F41)+4*HS!F42)/13</f>
        <v/>
      </c>
      <c r="G32" s="5">
        <f>(SUM(HS!G33:G41)+4*HS!G42)/13</f>
        <v/>
      </c>
      <c r="H32" s="5">
        <f>(SUM(HS!H33:H41)+4*HS!H42)/13</f>
        <v/>
      </c>
      <c r="I32" s="5">
        <f>(SUM(HS!I33:I41)+4*HS!I42)/13</f>
        <v/>
      </c>
      <c r="J32" s="5">
        <f>(SUM(HS!J33:J41)+4*HS!J42)/13</f>
        <v/>
      </c>
      <c r="K32" s="5">
        <f>(SUM(HS!K33:K41)+4*HS!K42)/13</f>
        <v/>
      </c>
    </row>
    <row r="33" ht="12.5" customHeight="1" s="12">
      <c r="A33" s="5" t="n">
        <v>13</v>
      </c>
      <c r="B33" s="5">
        <f>(SUM(HS!B34:B42)+4*HS!B43)/13</f>
        <v/>
      </c>
      <c r="C33" s="5">
        <f>(SUM(HS!C34:C42)+4*HS!C43)/13</f>
        <v/>
      </c>
      <c r="D33" s="5">
        <f>(SUM(HS!D34:D42)+4*HS!D43)/13</f>
        <v/>
      </c>
      <c r="E33" s="5">
        <f>(SUM(HS!E34:E42)+4*HS!E43)/13</f>
        <v/>
      </c>
      <c r="F33" s="5">
        <f>(SUM(HS!F34:F42)+4*HS!F43)/13</f>
        <v/>
      </c>
      <c r="G33" s="5">
        <f>(SUM(HS!G34:G42)+4*HS!G43)/13</f>
        <v/>
      </c>
      <c r="H33" s="5">
        <f>(SUM(HS!H34:H42)+4*HS!H43)/13</f>
        <v/>
      </c>
      <c r="I33" s="5">
        <f>(SUM(HS!I34:I42)+4*HS!I43)/13</f>
        <v/>
      </c>
      <c r="J33" s="5">
        <f>(SUM(HS!J34:J42)+4*HS!J43)/13</f>
        <v/>
      </c>
      <c r="K33" s="5">
        <f>(SUM(HS!K34:K42)+4*HS!K43)/13</f>
        <v/>
      </c>
    </row>
    <row r="34" ht="12.5" customHeight="1" s="12">
      <c r="A34" s="5" t="n">
        <v>14</v>
      </c>
      <c r="B34" s="5">
        <f>(SUM(HS!B35:B43)+4*HS!B44)/13</f>
        <v/>
      </c>
      <c r="C34" s="5">
        <f>(SUM(HS!C35:C43)+4*HS!C44)/13</f>
        <v/>
      </c>
      <c r="D34" s="5">
        <f>(SUM(HS!D35:D43)+4*HS!D44)/13</f>
        <v/>
      </c>
      <c r="E34" s="5">
        <f>(SUM(HS!E35:E43)+4*HS!E44)/13</f>
        <v/>
      </c>
      <c r="F34" s="5">
        <f>(SUM(HS!F35:F43)+4*HS!F44)/13</f>
        <v/>
      </c>
      <c r="G34" s="5">
        <f>(SUM(HS!G35:G43)+4*HS!G44)/13</f>
        <v/>
      </c>
      <c r="H34" s="5">
        <f>(SUM(HS!H35:H43)+4*HS!H44)/13</f>
        <v/>
      </c>
      <c r="I34" s="5">
        <f>(SUM(HS!I35:I43)+4*HS!I44)/13</f>
        <v/>
      </c>
      <c r="J34" s="5">
        <f>(SUM(HS!J35:J43)+4*HS!J44)/13</f>
        <v/>
      </c>
      <c r="K34" s="5">
        <f>(SUM(HS!K35:K43)+4*HS!K44)/13</f>
        <v/>
      </c>
    </row>
    <row r="35" ht="12.5" customHeight="1" s="12">
      <c r="A35" s="5" t="n">
        <v>15</v>
      </c>
      <c r="B35" s="5">
        <f>(SUM(HS!B36:B44)+4*HS!B45)/13</f>
        <v/>
      </c>
      <c r="C35" s="5">
        <f>(SUM(HS!C36:C44)+4*HS!C45)/13</f>
        <v/>
      </c>
      <c r="D35" s="5">
        <f>(SUM(HS!D36:D44)+4*HS!D45)/13</f>
        <v/>
      </c>
      <c r="E35" s="5">
        <f>(SUM(HS!E36:E44)+4*HS!E45)/13</f>
        <v/>
      </c>
      <c r="F35" s="5">
        <f>(SUM(HS!F36:F44)+4*HS!F45)/13</f>
        <v/>
      </c>
      <c r="G35" s="5">
        <f>(SUM(HS!G36:G44)+4*HS!G45)/13</f>
        <v/>
      </c>
      <c r="H35" s="5">
        <f>(SUM(HS!H36:H44)+4*HS!H45)/13</f>
        <v/>
      </c>
      <c r="I35" s="5">
        <f>(SUM(HS!I36:I44)+4*HS!I45)/13</f>
        <v/>
      </c>
      <c r="J35" s="5">
        <f>(SUM(HS!J36:J44)+4*HS!J45)/13</f>
        <v/>
      </c>
      <c r="K35" s="5">
        <f>(SUM(HS!K36:K44)+4*HS!K45)/13</f>
        <v/>
      </c>
    </row>
    <row r="36" ht="12.5" customHeight="1" s="12">
      <c r="A36" s="5" t="n">
        <v>16</v>
      </c>
      <c r="B36" s="5">
        <f>(SUM(HS!B37:B45)+4*HS!B46)/13</f>
        <v/>
      </c>
      <c r="C36" s="5">
        <f>(SUM(HS!C37:C45)+4*HS!C46)/13</f>
        <v/>
      </c>
      <c r="D36" s="5">
        <f>(SUM(HS!D37:D45)+4*HS!D46)/13</f>
        <v/>
      </c>
      <c r="E36" s="5">
        <f>(SUM(HS!E37:E45)+4*HS!E46)/13</f>
        <v/>
      </c>
      <c r="F36" s="5">
        <f>(SUM(HS!F37:F45)+4*HS!F46)/13</f>
        <v/>
      </c>
      <c r="G36" s="5">
        <f>(SUM(HS!G37:G45)+4*HS!G46)/13</f>
        <v/>
      </c>
      <c r="H36" s="5">
        <f>(SUM(HS!H37:H45)+4*HS!H46)/13</f>
        <v/>
      </c>
      <c r="I36" s="5">
        <f>(SUM(HS!I37:I45)+4*HS!I46)/13</f>
        <v/>
      </c>
      <c r="J36" s="5">
        <f>(SUM(HS!J37:J45)+4*HS!J46)/13</f>
        <v/>
      </c>
      <c r="K36" s="5">
        <f>(SUM(HS!K37:K45)+4*HS!K46)/13</f>
        <v/>
      </c>
    </row>
    <row r="37" ht="12.5" customHeight="1" s="12">
      <c r="A37" s="5" t="n">
        <v>17</v>
      </c>
      <c r="B37" s="5">
        <f>(SUM(HS!B38:B46)+4*HS!B47)/13</f>
        <v/>
      </c>
      <c r="C37" s="5">
        <f>(SUM(HS!C38:C46)+4*HS!C47)/13</f>
        <v/>
      </c>
      <c r="D37" s="5">
        <f>(SUM(HS!D38:D46)+4*HS!D47)/13</f>
        <v/>
      </c>
      <c r="E37" s="5">
        <f>(SUM(HS!E38:E46)+4*HS!E47)/13</f>
        <v/>
      </c>
      <c r="F37" s="5">
        <f>(SUM(HS!F38:F46)+4*HS!F47)/13</f>
        <v/>
      </c>
      <c r="G37" s="5">
        <f>(SUM(HS!G38:G46)+4*HS!G47)/13</f>
        <v/>
      </c>
      <c r="H37" s="5">
        <f>(SUM(HS!H38:H46)+4*HS!H47)/13</f>
        <v/>
      </c>
      <c r="I37" s="5">
        <f>(SUM(HS!I38:I46)+4*HS!I47)/13</f>
        <v/>
      </c>
      <c r="J37" s="5">
        <f>(SUM(HS!J38:J46)+4*HS!J47)/13</f>
        <v/>
      </c>
      <c r="K37" s="5">
        <f>(SUM(HS!K38:K46)+4*HS!K47)/13</f>
        <v/>
      </c>
    </row>
    <row r="38" ht="12.5" customHeight="1" s="12">
      <c r="A38" s="5" t="n">
        <v>18</v>
      </c>
      <c r="B38" s="5">
        <f>(SUM(HS!B39:B47)+4*HS!B48)/13</f>
        <v/>
      </c>
      <c r="C38" s="5">
        <f>(SUM(HS!C39:C47)+4*HS!C48)/13</f>
        <v/>
      </c>
      <c r="D38" s="5">
        <f>(SUM(HS!D39:D47)+4*HS!D48)/13</f>
        <v/>
      </c>
      <c r="E38" s="5">
        <f>(SUM(HS!E39:E47)+4*HS!E48)/13</f>
        <v/>
      </c>
      <c r="F38" s="5">
        <f>(SUM(HS!F39:F47)+4*HS!F48)/13</f>
        <v/>
      </c>
      <c r="G38" s="5">
        <f>(SUM(HS!G39:G47)+4*HS!G48)/13</f>
        <v/>
      </c>
      <c r="H38" s="5">
        <f>(SUM(HS!H39:H47)+4*HS!H48)/13</f>
        <v/>
      </c>
      <c r="I38" s="5">
        <f>(SUM(HS!I39:I47)+4*HS!I48)/13</f>
        <v/>
      </c>
      <c r="J38" s="5">
        <f>(SUM(HS!J39:J47)+4*HS!J48)/13</f>
        <v/>
      </c>
      <c r="K38" s="5">
        <f>(SUM(HS!K39:K47)+4*HS!K48)/13</f>
        <v/>
      </c>
    </row>
    <row r="39" ht="12.5" customHeight="1" s="12">
      <c r="A39" s="5" t="n">
        <v>19</v>
      </c>
      <c r="B39" s="5">
        <f>(SUM(HS!B40:B48)+4*HS!B49)/13</f>
        <v/>
      </c>
      <c r="C39" s="5">
        <f>(SUM(HS!C40:C48)+4*HS!C49)/13</f>
        <v/>
      </c>
      <c r="D39" s="5">
        <f>(SUM(HS!D40:D48)+4*HS!D49)/13</f>
        <v/>
      </c>
      <c r="E39" s="5">
        <f>(SUM(HS!E40:E48)+4*HS!E49)/13</f>
        <v/>
      </c>
      <c r="F39" s="5">
        <f>(SUM(HS!F40:F48)+4*HS!F49)/13</f>
        <v/>
      </c>
      <c r="G39" s="5">
        <f>(SUM(HS!G40:G48)+4*HS!G49)/13</f>
        <v/>
      </c>
      <c r="H39" s="5">
        <f>(SUM(HS!H40:H48)+4*HS!H49)/13</f>
        <v/>
      </c>
      <c r="I39" s="5">
        <f>(SUM(HS!I40:I48)+4*HS!I49)/13</f>
        <v/>
      </c>
      <c r="J39" s="5">
        <f>(SUM(HS!J40:J48)+4*HS!J49)/13</f>
        <v/>
      </c>
      <c r="K39" s="5">
        <f>(SUM(HS!K40:K48)+4*HS!K49)/13</f>
        <v/>
      </c>
    </row>
    <row r="40" ht="12.5" customHeight="1" s="12">
      <c r="A40" s="5" t="n">
        <v>20</v>
      </c>
      <c r="B40" s="5">
        <f>(SUM(HS!B41:B49)+4*HS!B50)/13</f>
        <v/>
      </c>
      <c r="C40" s="5">
        <f>(SUM(HS!C41:C49)+4*HS!C50)/13</f>
        <v/>
      </c>
      <c r="D40" s="5">
        <f>(SUM(HS!D41:D49)+4*HS!D50)/13</f>
        <v/>
      </c>
      <c r="E40" s="5">
        <f>(SUM(HS!E41:E49)+4*HS!E50)/13</f>
        <v/>
      </c>
      <c r="F40" s="5">
        <f>(SUM(HS!F41:F49)+4*HS!F50)/13</f>
        <v/>
      </c>
      <c r="G40" s="5">
        <f>(SUM(HS!G41:G49)+4*HS!G50)/13</f>
        <v/>
      </c>
      <c r="H40" s="5">
        <f>(SUM(HS!H41:H49)+4*HS!H50)/13</f>
        <v/>
      </c>
      <c r="I40" s="5">
        <f>(SUM(HS!I41:I49)+4*HS!I50)/13</f>
        <v/>
      </c>
      <c r="J40" s="5">
        <f>(SUM(HS!J41:J49)+4*HS!J50)/13</f>
        <v/>
      </c>
      <c r="K40" s="5">
        <f>(SUM(HS!K41:K49)+4*HS!K50)/13</f>
        <v/>
      </c>
    </row>
    <row r="41" ht="12.5" customHeight="1" s="12">
      <c r="A41" s="5" t="n">
        <v>21</v>
      </c>
      <c r="B41" s="5">
        <f>(SUM(HS!B42:B50)+4*HS!B51)/13</f>
        <v/>
      </c>
      <c r="C41" s="5">
        <f>(SUM(HS!C42:C50)+4*HS!C51)/13</f>
        <v/>
      </c>
      <c r="D41" s="5">
        <f>(SUM(HS!D42:D50)+4*HS!D51)/13</f>
        <v/>
      </c>
      <c r="E41" s="5">
        <f>(SUM(HS!E42:E50)+4*HS!E51)/13</f>
        <v/>
      </c>
      <c r="F41" s="5">
        <f>(SUM(HS!F42:F50)+4*HS!F51)/13</f>
        <v/>
      </c>
      <c r="G41" s="5">
        <f>(SUM(HS!G42:G50)+4*HS!G51)/13</f>
        <v/>
      </c>
      <c r="H41" s="5">
        <f>(SUM(HS!H42:H50)+4*HS!H51)/13</f>
        <v/>
      </c>
      <c r="I41" s="5">
        <f>(SUM(HS!I42:I50)+4*HS!I51)/13</f>
        <v/>
      </c>
      <c r="J41" s="5">
        <f>(SUM(HS!J42:J50)+4*HS!J51)/13</f>
        <v/>
      </c>
      <c r="K41" s="5">
        <f>(SUM(HS!K42:K50)+4*HS!K51)/13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Dealer!B2-SUM(Dealer!B3:B7)</f>
        <v/>
      </c>
      <c r="C2" s="5">
        <f>Dealer!C2-SUM(Dealer!C3:C7)</f>
        <v/>
      </c>
      <c r="D2" s="5">
        <f>Dealer!D2-SUM(Dealer!D3:D7)</f>
        <v/>
      </c>
      <c r="E2" s="5">
        <f>Dealer!E2-SUM(Dealer!E3:E7)</f>
        <v/>
      </c>
      <c r="F2" s="5">
        <f>Dealer!F2-SUM(Dealer!F3:F7)</f>
        <v/>
      </c>
      <c r="G2" s="5">
        <f>Dealer!G2-SUM(Dealer!G3:G7)</f>
        <v/>
      </c>
      <c r="H2" s="5">
        <f>Dealer!H2-SUM(Dealer!H3:H7)</f>
        <v/>
      </c>
      <c r="I2" s="5">
        <f>Dealer!I2-SUM(Dealer!I3:I7)</f>
        <v/>
      </c>
      <c r="J2" s="5">
        <f>Dealer!J2-SUM(Dealer!J3:J7)</f>
        <v/>
      </c>
      <c r="K2" s="5">
        <f>Dealer!K2-SUM(Dealer!K3:K7)</f>
        <v/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Dealer!B2-SUM(Dealer!B4:B7)</f>
        <v/>
      </c>
      <c r="C15" s="5">
        <f>Dealer!C2-SUM(Dealer!C4:C7)</f>
        <v/>
      </c>
      <c r="D15" s="5">
        <f>Dealer!D2-SUM(Dealer!D4:D7)</f>
        <v/>
      </c>
      <c r="E15" s="5">
        <f>Dealer!E2-SUM(Dealer!E4:E7)</f>
        <v/>
      </c>
      <c r="F15" s="5">
        <f>Dealer!F2-SUM(Dealer!F4:F7)</f>
        <v/>
      </c>
      <c r="G15" s="5">
        <f>Dealer!G2-SUM(Dealer!G4:G7)</f>
        <v/>
      </c>
      <c r="H15" s="5">
        <f>Dealer!H2-SUM(Dealer!H4:H7)</f>
        <v/>
      </c>
      <c r="I15" s="5">
        <f>Dealer!I2-SUM(Dealer!I4:I7)</f>
        <v/>
      </c>
      <c r="J15" s="5">
        <f>Dealer!J2-SUM(Dealer!J4:J7)</f>
        <v/>
      </c>
      <c r="K15" s="5">
        <f>Dealer!K2-SUM(Dealer!K4:K7)</f>
        <v/>
      </c>
    </row>
    <row r="16" ht="15.75" customHeight="1" s="12">
      <c r="A16" s="5" t="n">
        <v>18</v>
      </c>
      <c r="B16" s="5">
        <f>Dealer!B2+Dealer!B3-SUM(Dealer!B5:B7)</f>
        <v/>
      </c>
      <c r="C16" s="5">
        <f>Dealer!C2+Dealer!C3-SUM(Dealer!C5:C7)</f>
        <v/>
      </c>
      <c r="D16" s="5">
        <f>Dealer!D2+Dealer!D3-SUM(Dealer!D5:D7)</f>
        <v/>
      </c>
      <c r="E16" s="5">
        <f>Dealer!E2+Dealer!E3-SUM(Dealer!E5:E7)</f>
        <v/>
      </c>
      <c r="F16" s="5">
        <f>Dealer!F2+Dealer!F3-SUM(Dealer!F5:F7)</f>
        <v/>
      </c>
      <c r="G16" s="5">
        <f>Dealer!G2+Dealer!G3-SUM(Dealer!G5:G7)</f>
        <v/>
      </c>
      <c r="H16" s="5">
        <f>Dealer!H2+Dealer!H3-SUM(Dealer!H5:H7)</f>
        <v/>
      </c>
      <c r="I16" s="5">
        <f>Dealer!I2+Dealer!I3-SUM(Dealer!I5:I7)</f>
        <v/>
      </c>
      <c r="J16" s="5">
        <f>Dealer!J2+Dealer!J3-SUM(Dealer!J5:J7)</f>
        <v/>
      </c>
      <c r="K16" s="5">
        <f>Dealer!K2+Dealer!K3-SUM(Dealer!K5:K7)</f>
        <v/>
      </c>
    </row>
    <row r="17" ht="15.75" customHeight="1" s="12">
      <c r="A17" s="5" t="n">
        <v>19</v>
      </c>
      <c r="B17" s="5">
        <f>SUM(Dealer!B2:B4)-SUM(Dealer!B6:B7)</f>
        <v/>
      </c>
      <c r="C17" s="5">
        <f>SUM(Dealer!C2:C4)-SUM(Dealer!C6:C7)</f>
        <v/>
      </c>
      <c r="D17" s="5">
        <f>SUM(Dealer!D2:D4)-SUM(Dealer!D6:D7)</f>
        <v/>
      </c>
      <c r="E17" s="5">
        <f>SUM(Dealer!E2:E4)-SUM(Dealer!E6:E7)</f>
        <v/>
      </c>
      <c r="F17" s="5">
        <f>SUM(Dealer!F2:F4)-SUM(Dealer!F6:F7)</f>
        <v/>
      </c>
      <c r="G17" s="5">
        <f>SUM(Dealer!G2:G4)-SUM(Dealer!G6:G7)</f>
        <v/>
      </c>
      <c r="H17" s="5">
        <f>SUM(Dealer!H2:H4)-SUM(Dealer!H6:H7)</f>
        <v/>
      </c>
      <c r="I17" s="5">
        <f>SUM(Dealer!I2:I4)-SUM(Dealer!I6:I7)</f>
        <v/>
      </c>
      <c r="J17" s="5">
        <f>SUM(Dealer!J2:J4)-SUM(Dealer!J6:J7)</f>
        <v/>
      </c>
      <c r="K17" s="5">
        <f>SUM(Dealer!K2:K4)-SUM(Dealer!K6:K7)</f>
        <v/>
      </c>
    </row>
    <row r="18" ht="15.75" customHeight="1" s="12">
      <c r="A18" s="5" t="n">
        <v>20</v>
      </c>
      <c r="B18" s="5">
        <f>SUM(Dealer!B2:B5)-Dealer!B7</f>
        <v/>
      </c>
      <c r="C18" s="5">
        <f>SUM(Dealer!C2:C5)-Dealer!C7</f>
        <v/>
      </c>
      <c r="D18" s="5">
        <f>SUM(Dealer!D2:D5)-Dealer!D7</f>
        <v/>
      </c>
      <c r="E18" s="5">
        <f>SUM(Dealer!E2:E5)-Dealer!E7</f>
        <v/>
      </c>
      <c r="F18" s="5">
        <f>SUM(Dealer!F2:F5)-Dealer!F7</f>
        <v/>
      </c>
      <c r="G18" s="5">
        <f>SUM(Dealer!G2:G5)-Dealer!G7</f>
        <v/>
      </c>
      <c r="H18" s="5">
        <f>SUM(Dealer!H2:H5)-Dealer!H7</f>
        <v/>
      </c>
      <c r="I18" s="5">
        <f>SUM(Dealer!I2:I5)-Dealer!I7</f>
        <v/>
      </c>
      <c r="J18" s="5">
        <f>SUM(Dealer!J2:J5)-Dealer!J7</f>
        <v/>
      </c>
      <c r="K18" s="5">
        <f>SUM(Dealer!K2:K5)-Dealer!K7</f>
        <v/>
      </c>
    </row>
    <row r="19" ht="15.75" customHeight="1" s="12">
      <c r="A19" s="5" t="n">
        <v>21</v>
      </c>
      <c r="B19" s="5">
        <f>SUM(Dealer!B2:B6)</f>
        <v/>
      </c>
      <c r="C19" s="5">
        <f>SUM(Dealer!C2:C6)</f>
        <v/>
      </c>
      <c r="D19" s="5">
        <f>SUM(Dealer!D2:D6)</f>
        <v/>
      </c>
      <c r="E19" s="5">
        <f>SUM(Dealer!E2:E6)</f>
        <v/>
      </c>
      <c r="F19" s="5">
        <f>SUM(Dealer!F2:F6)</f>
        <v/>
      </c>
      <c r="G19" s="5">
        <f>SUM(Dealer!G2:G6)</f>
        <v/>
      </c>
      <c r="H19" s="5">
        <f>SUM(Dealer!H2:H6)</f>
        <v/>
      </c>
      <c r="I19" s="5">
        <f>SUM(Dealer!I2:I6)</f>
        <v/>
      </c>
      <c r="J19" s="5">
        <f>SUM(Dealer!J2:J6)</f>
        <v/>
      </c>
      <c r="K19" s="5">
        <f>SUM(Dealer!K2:K6)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MAX(Hit!B2,Stand!B2)</f>
        <v/>
      </c>
      <c r="C2" s="5">
        <f>MAX(Hit!C2,Stand!C2)</f>
        <v/>
      </c>
      <c r="D2" s="5">
        <f>MAX(Hit!D2,Stand!D2)</f>
        <v/>
      </c>
      <c r="E2" s="5">
        <f>MAX(Hit!E2,Stand!E2)</f>
        <v/>
      </c>
      <c r="F2" s="5">
        <f>MAX(Hit!F2,Stand!F2)</f>
        <v/>
      </c>
      <c r="G2" s="5">
        <f>MAX(Hit!G2,Stand!G2)</f>
        <v/>
      </c>
      <c r="H2" s="5">
        <f>MAX(Hit!H2,Stand!H2)</f>
        <v/>
      </c>
      <c r="I2" s="5">
        <f>MAX(Hit!I2,Stand!I2)</f>
        <v/>
      </c>
      <c r="J2" s="5">
        <f>MAX(Hit!J2,Stand!J2)</f>
        <v/>
      </c>
      <c r="K2" s="5">
        <f>MAX(Hit!K2,Stand!K2)</f>
        <v/>
      </c>
      <c r="M2" s="5" t="n">
        <v>4</v>
      </c>
      <c r="N2" s="2">
        <f>IF(B2=Stand!B2,"S","H")</f>
        <v/>
      </c>
      <c r="O2" s="2">
        <f>IF(C2=Stand!C2,"S","H")</f>
        <v/>
      </c>
      <c r="P2" s="2">
        <f>IF(D2=Stand!D2,"S","H")</f>
        <v/>
      </c>
      <c r="Q2" s="2">
        <f>IF(E2=Stand!E2,"S","H")</f>
        <v/>
      </c>
      <c r="R2" s="2">
        <f>IF(F2=Stand!F2,"S","H")</f>
        <v/>
      </c>
      <c r="S2" s="2">
        <f>IF(G2=Stand!G2,"S","H")</f>
        <v/>
      </c>
      <c r="T2" s="2">
        <f>IF(H2=Stand!H2,"S","H")</f>
        <v/>
      </c>
      <c r="U2" s="2">
        <f>IF(I2=Stand!I2,"S","H")</f>
        <v/>
      </c>
      <c r="V2" s="2">
        <f>IF(J2=Stand!J2,"S","H")</f>
        <v/>
      </c>
      <c r="W2" s="2">
        <f>IF(K2=Stand!K2,"S","H")</f>
        <v/>
      </c>
    </row>
    <row r="3" ht="15.75" customHeight="1" s="12">
      <c r="A3" s="5" t="n">
        <v>5</v>
      </c>
      <c r="B3" s="5">
        <f>MAX(Hit!B3,Stand!B3)</f>
        <v/>
      </c>
      <c r="C3" s="5">
        <f>MAX(Hit!C3,Stand!C3)</f>
        <v/>
      </c>
      <c r="D3" s="5">
        <f>MAX(Hit!D3,Stand!D3)</f>
        <v/>
      </c>
      <c r="E3" s="5">
        <f>MAX(Hit!E3,Stand!E3)</f>
        <v/>
      </c>
      <c r="F3" s="5">
        <f>MAX(Hit!F3,Stand!F3)</f>
        <v/>
      </c>
      <c r="G3" s="5">
        <f>MAX(Hit!G3,Stand!G3)</f>
        <v/>
      </c>
      <c r="H3" s="5">
        <f>MAX(Hit!H3,Stand!H3)</f>
        <v/>
      </c>
      <c r="I3" s="5">
        <f>MAX(Hit!I3,Stand!I3)</f>
        <v/>
      </c>
      <c r="J3" s="5">
        <f>MAX(Hit!J3,Stand!J3)</f>
        <v/>
      </c>
      <c r="K3" s="5">
        <f>MAX(Hit!K3,Stand!K3)</f>
        <v/>
      </c>
      <c r="M3" s="5" t="n">
        <v>5</v>
      </c>
      <c r="N3" s="2">
        <f>IF(B3=Stand!B3,"S","H")</f>
        <v/>
      </c>
      <c r="O3" s="2">
        <f>IF(C3=Stand!C3,"S","H")</f>
        <v/>
      </c>
      <c r="P3" s="2">
        <f>IF(D3=Stand!D3,"S","H")</f>
        <v/>
      </c>
      <c r="Q3" s="2">
        <f>IF(E3=Stand!E3,"S","H")</f>
        <v/>
      </c>
      <c r="R3" s="2">
        <f>IF(F3=Stand!F3,"S","H")</f>
        <v/>
      </c>
      <c r="S3" s="2">
        <f>IF(G3=Stand!G3,"S","H")</f>
        <v/>
      </c>
      <c r="T3" s="2">
        <f>IF(H3=Stand!H3,"S","H")</f>
        <v/>
      </c>
      <c r="U3" s="2">
        <f>IF(I3=Stand!I3,"S","H")</f>
        <v/>
      </c>
      <c r="V3" s="2">
        <f>IF(J3=Stand!J3,"S","H")</f>
        <v/>
      </c>
      <c r="W3" s="2">
        <f>IF(K3=Stand!K3,"S","H")</f>
        <v/>
      </c>
    </row>
    <row r="4" ht="15.75" customHeight="1" s="12">
      <c r="A4" s="5" t="n">
        <v>6</v>
      </c>
      <c r="B4" s="5">
        <f>MAX(Hit!B4,Stand!B4)</f>
        <v/>
      </c>
      <c r="C4" s="5">
        <f>MAX(Hit!C4,Stand!C4)</f>
        <v/>
      </c>
      <c r="D4" s="5">
        <f>MAX(Hit!D4,Stand!D4)</f>
        <v/>
      </c>
      <c r="E4" s="5">
        <f>MAX(Hit!E4,Stand!E4)</f>
        <v/>
      </c>
      <c r="F4" s="5">
        <f>MAX(Hit!F4,Stand!F4)</f>
        <v/>
      </c>
      <c r="G4" s="5">
        <f>MAX(Hit!G4,Stand!G4)</f>
        <v/>
      </c>
      <c r="H4" s="5">
        <f>MAX(Hit!H4,Stand!H4)</f>
        <v/>
      </c>
      <c r="I4" s="5">
        <f>MAX(Hit!I4,Stand!I4)</f>
        <v/>
      </c>
      <c r="J4" s="5">
        <f>MAX(Hit!J4,Stand!J4)</f>
        <v/>
      </c>
      <c r="K4" s="5">
        <f>MAX(Hit!K4,Stand!K4)</f>
        <v/>
      </c>
      <c r="M4" s="5" t="n">
        <v>6</v>
      </c>
      <c r="N4" s="2">
        <f>IF(B4=Stand!B4,"S","H")</f>
        <v/>
      </c>
      <c r="O4" s="2">
        <f>IF(C4=Stand!C4,"S","H")</f>
        <v/>
      </c>
      <c r="P4" s="2">
        <f>IF(D4=Stand!D4,"S","H")</f>
        <v/>
      </c>
      <c r="Q4" s="2">
        <f>IF(E4=Stand!E4,"S","H")</f>
        <v/>
      </c>
      <c r="R4" s="2">
        <f>IF(F4=Stand!F4,"S","H")</f>
        <v/>
      </c>
      <c r="S4" s="2">
        <f>IF(G4=Stand!G4,"S","H")</f>
        <v/>
      </c>
      <c r="T4" s="2">
        <f>IF(H4=Stand!H4,"S","H")</f>
        <v/>
      </c>
      <c r="U4" s="2">
        <f>IF(I4=Stand!I4,"S","H")</f>
        <v/>
      </c>
      <c r="V4" s="2">
        <f>IF(J4=Stand!J4,"S","H")</f>
        <v/>
      </c>
      <c r="W4" s="2">
        <f>IF(K4=Stand!K4,"S","H")</f>
        <v/>
      </c>
    </row>
    <row r="5" ht="15.75" customHeight="1" s="12">
      <c r="A5" s="5" t="n">
        <v>7</v>
      </c>
      <c r="B5" s="5">
        <f>MAX(Hit!B5,Stand!B5)</f>
        <v/>
      </c>
      <c r="C5" s="5">
        <f>MAX(Hit!C5,Stand!C5)</f>
        <v/>
      </c>
      <c r="D5" s="5">
        <f>MAX(Hit!D5,Stand!D5)</f>
        <v/>
      </c>
      <c r="E5" s="5">
        <f>MAX(Hit!E5,Stand!E5)</f>
        <v/>
      </c>
      <c r="F5" s="5">
        <f>MAX(Hit!F5,Stand!F5)</f>
        <v/>
      </c>
      <c r="G5" s="5">
        <f>MAX(Hit!G5,Stand!G5)</f>
        <v/>
      </c>
      <c r="H5" s="5">
        <f>MAX(Hit!H5,Stand!H5)</f>
        <v/>
      </c>
      <c r="I5" s="5">
        <f>MAX(Hit!I5,Stand!I5)</f>
        <v/>
      </c>
      <c r="J5" s="5">
        <f>MAX(Hit!J5,Stand!J5)</f>
        <v/>
      </c>
      <c r="K5" s="5">
        <f>MAX(Hit!K5,Stand!K5)</f>
        <v/>
      </c>
      <c r="M5" s="5" t="n">
        <v>7</v>
      </c>
      <c r="N5" s="2">
        <f>IF(B5=Stand!B5,"S","H")</f>
        <v/>
      </c>
      <c r="O5" s="2">
        <f>IF(C5=Stand!C5,"S","H")</f>
        <v/>
      </c>
      <c r="P5" s="2">
        <f>IF(D5=Stand!D5,"S","H")</f>
        <v/>
      </c>
      <c r="Q5" s="2">
        <f>IF(E5=Stand!E5,"S","H")</f>
        <v/>
      </c>
      <c r="R5" s="2">
        <f>IF(F5=Stand!F5,"S","H")</f>
        <v/>
      </c>
      <c r="S5" s="2">
        <f>IF(G5=Stand!G5,"S","H")</f>
        <v/>
      </c>
      <c r="T5" s="2">
        <f>IF(H5=Stand!H5,"S","H")</f>
        <v/>
      </c>
      <c r="U5" s="2">
        <f>IF(I5=Stand!I5,"S","H")</f>
        <v/>
      </c>
      <c r="V5" s="2">
        <f>IF(J5=Stand!J5,"S","H")</f>
        <v/>
      </c>
      <c r="W5" s="2">
        <f>IF(K5=Stand!K5,"S","H")</f>
        <v/>
      </c>
    </row>
    <row r="6" ht="15.75" customHeight="1" s="12">
      <c r="A6" s="5" t="n">
        <v>8</v>
      </c>
      <c r="B6" s="5">
        <f>MAX(Hit!B6,Stand!B6)</f>
        <v/>
      </c>
      <c r="C6" s="5">
        <f>MAX(Hit!C6,Stand!C6)</f>
        <v/>
      </c>
      <c r="D6" s="5">
        <f>MAX(Hit!D6,Stand!D6)</f>
        <v/>
      </c>
      <c r="E6" s="5">
        <f>MAX(Hit!E6,Stand!E6)</f>
        <v/>
      </c>
      <c r="F6" s="5">
        <f>MAX(Hit!F6,Stand!F6)</f>
        <v/>
      </c>
      <c r="G6" s="5">
        <f>MAX(Hit!G6,Stand!G6)</f>
        <v/>
      </c>
      <c r="H6" s="5">
        <f>MAX(Hit!H6,Stand!H6)</f>
        <v/>
      </c>
      <c r="I6" s="5">
        <f>MAX(Hit!I6,Stand!I6)</f>
        <v/>
      </c>
      <c r="J6" s="5">
        <f>MAX(Hit!J6,Stand!J6)</f>
        <v/>
      </c>
      <c r="K6" s="5">
        <f>MAX(Hit!K6,Stand!K6)</f>
        <v/>
      </c>
      <c r="M6" s="5" t="n">
        <v>8</v>
      </c>
      <c r="N6" s="2">
        <f>IF(B6=Stand!B6,"S","H")</f>
        <v/>
      </c>
      <c r="O6" s="2">
        <f>IF(C6=Stand!C6,"S","H")</f>
        <v/>
      </c>
      <c r="P6" s="2">
        <f>IF(D6=Stand!D6,"S","H")</f>
        <v/>
      </c>
      <c r="Q6" s="2">
        <f>IF(E6=Stand!E6,"S","H")</f>
        <v/>
      </c>
      <c r="R6" s="2">
        <f>IF(F6=Stand!F6,"S","H")</f>
        <v/>
      </c>
      <c r="S6" s="2">
        <f>IF(G6=Stand!G6,"S","H")</f>
        <v/>
      </c>
      <c r="T6" s="2">
        <f>IF(H6=Stand!H6,"S","H")</f>
        <v/>
      </c>
      <c r="U6" s="2">
        <f>IF(I6=Stand!I6,"S","H")</f>
        <v/>
      </c>
      <c r="V6" s="2">
        <f>IF(J6=Stand!J6,"S","H")</f>
        <v/>
      </c>
      <c r="W6" s="2">
        <f>IF(K6=Stand!K6,"S","H")</f>
        <v/>
      </c>
    </row>
    <row r="7" ht="15.75" customHeight="1" s="12">
      <c r="A7" s="5" t="n">
        <v>9</v>
      </c>
      <c r="B7" s="5">
        <f>MAX(Hit!B7,Stand!B7)</f>
        <v/>
      </c>
      <c r="C7" s="5">
        <f>MAX(Hit!C7,Stand!C7)</f>
        <v/>
      </c>
      <c r="D7" s="5">
        <f>MAX(Hit!D7,Stand!D7)</f>
        <v/>
      </c>
      <c r="E7" s="5">
        <f>MAX(Hit!E7,Stand!E7)</f>
        <v/>
      </c>
      <c r="F7" s="5">
        <f>MAX(Hit!F7,Stand!F7)</f>
        <v/>
      </c>
      <c r="G7" s="5">
        <f>MAX(Hit!G7,Stand!G7)</f>
        <v/>
      </c>
      <c r="H7" s="5">
        <f>MAX(Hit!H7,Stand!H7)</f>
        <v/>
      </c>
      <c r="I7" s="5">
        <f>MAX(Hit!I7,Stand!I7)</f>
        <v/>
      </c>
      <c r="J7" s="5">
        <f>MAX(Hit!J7,Stand!J7)</f>
        <v/>
      </c>
      <c r="K7" s="5">
        <f>MAX(Hit!K7,Stand!K7)</f>
        <v/>
      </c>
      <c r="M7" s="5" t="n">
        <v>9</v>
      </c>
      <c r="N7" s="2">
        <f>IF(B7=Stand!B7,"S","H")</f>
        <v/>
      </c>
      <c r="O7" s="2">
        <f>IF(C7=Stand!C7,"S","H")</f>
        <v/>
      </c>
      <c r="P7" s="2">
        <f>IF(D7=Stand!D7,"S","H")</f>
        <v/>
      </c>
      <c r="Q7" s="2">
        <f>IF(E7=Stand!E7,"S","H")</f>
        <v/>
      </c>
      <c r="R7" s="2">
        <f>IF(F7=Stand!F7,"S","H")</f>
        <v/>
      </c>
      <c r="S7" s="2">
        <f>IF(G7=Stand!G7,"S","H")</f>
        <v/>
      </c>
      <c r="T7" s="2">
        <f>IF(H7=Stand!H7,"S","H")</f>
        <v/>
      </c>
      <c r="U7" s="2">
        <f>IF(I7=Stand!I7,"S","H")</f>
        <v/>
      </c>
      <c r="V7" s="2">
        <f>IF(J7=Stand!J7,"S","H")</f>
        <v/>
      </c>
      <c r="W7" s="2">
        <f>IF(K7=Stand!K7,"S","H")</f>
        <v/>
      </c>
    </row>
    <row r="8" ht="15.75" customHeight="1" s="12">
      <c r="A8" s="5" t="n">
        <v>10</v>
      </c>
      <c r="B8" s="5">
        <f>MAX(Hit!B8,Stand!B8)</f>
        <v/>
      </c>
      <c r="C8" s="5">
        <f>MAX(Hit!C8,Stand!C8)</f>
        <v/>
      </c>
      <c r="D8" s="5">
        <f>MAX(Hit!D8,Stand!D8)</f>
        <v/>
      </c>
      <c r="E8" s="5">
        <f>MAX(Hit!E8,Stand!E8)</f>
        <v/>
      </c>
      <c r="F8" s="5">
        <f>MAX(Hit!F8,Stand!F8)</f>
        <v/>
      </c>
      <c r="G8" s="5">
        <f>MAX(Hit!G8,Stand!G8)</f>
        <v/>
      </c>
      <c r="H8" s="5">
        <f>MAX(Hit!H8,Stand!H8)</f>
        <v/>
      </c>
      <c r="I8" s="5">
        <f>MAX(Hit!I8,Stand!I8)</f>
        <v/>
      </c>
      <c r="J8" s="5">
        <f>MAX(Hit!J8,Stand!J8)</f>
        <v/>
      </c>
      <c r="K8" s="5">
        <f>MAX(Hit!K8,Stand!K8)</f>
        <v/>
      </c>
      <c r="M8" s="5" t="n">
        <v>10</v>
      </c>
      <c r="N8" s="2">
        <f>IF(B8=Stand!B8,"S","H")</f>
        <v/>
      </c>
      <c r="O8" s="2">
        <f>IF(C8=Stand!C8,"S","H")</f>
        <v/>
      </c>
      <c r="P8" s="2">
        <f>IF(D8=Stand!D8,"S","H")</f>
        <v/>
      </c>
      <c r="Q8" s="2">
        <f>IF(E8=Stand!E8,"S","H")</f>
        <v/>
      </c>
      <c r="R8" s="2">
        <f>IF(F8=Stand!F8,"S","H")</f>
        <v/>
      </c>
      <c r="S8" s="2">
        <f>IF(G8=Stand!G8,"S","H")</f>
        <v/>
      </c>
      <c r="T8" s="2">
        <f>IF(H8=Stand!H8,"S","H")</f>
        <v/>
      </c>
      <c r="U8" s="2">
        <f>IF(I8=Stand!I8,"S","H")</f>
        <v/>
      </c>
      <c r="V8" s="2">
        <f>IF(J8=Stand!J8,"S","H")</f>
        <v/>
      </c>
      <c r="W8" s="2">
        <f>IF(K8=Stand!K8,"S","H")</f>
        <v/>
      </c>
    </row>
    <row r="9" ht="15.75" customHeight="1" s="12">
      <c r="A9" s="5" t="n">
        <v>11</v>
      </c>
      <c r="B9" s="5">
        <f>MAX(Hit!B9,Stand!B9)</f>
        <v/>
      </c>
      <c r="C9" s="5">
        <f>MAX(Hit!C9,Stand!C9)</f>
        <v/>
      </c>
      <c r="D9" s="5">
        <f>MAX(Hit!D9,Stand!D9)</f>
        <v/>
      </c>
      <c r="E9" s="5">
        <f>MAX(Hit!E9,Stand!E9)</f>
        <v/>
      </c>
      <c r="F9" s="5">
        <f>MAX(Hit!F9,Stand!F9)</f>
        <v/>
      </c>
      <c r="G9" s="5">
        <f>MAX(Hit!G9,Stand!G9)</f>
        <v/>
      </c>
      <c r="H9" s="5">
        <f>MAX(Hit!H9,Stand!H9)</f>
        <v/>
      </c>
      <c r="I9" s="5">
        <f>MAX(Hit!I9,Stand!I9)</f>
        <v/>
      </c>
      <c r="J9" s="5">
        <f>MAX(Hit!J9,Stand!J9)</f>
        <v/>
      </c>
      <c r="K9" s="5">
        <f>MAX(Hit!K9,Stand!K9)</f>
        <v/>
      </c>
      <c r="M9" s="5" t="n">
        <v>11</v>
      </c>
      <c r="N9" s="2">
        <f>IF(B9=Stand!B9,"S","H")</f>
        <v/>
      </c>
      <c r="O9" s="2">
        <f>IF(C9=Stand!C9,"S","H")</f>
        <v/>
      </c>
      <c r="P9" s="2">
        <f>IF(D9=Stand!D9,"S","H")</f>
        <v/>
      </c>
      <c r="Q9" s="2">
        <f>IF(E9=Stand!E9,"S","H")</f>
        <v/>
      </c>
      <c r="R9" s="2">
        <f>IF(F9=Stand!F9,"S","H")</f>
        <v/>
      </c>
      <c r="S9" s="2">
        <f>IF(G9=Stand!G9,"S","H")</f>
        <v/>
      </c>
      <c r="T9" s="2">
        <f>IF(H9=Stand!H9,"S","H")</f>
        <v/>
      </c>
      <c r="U9" s="2">
        <f>IF(I9=Stand!I9,"S","H")</f>
        <v/>
      </c>
      <c r="V9" s="2">
        <f>IF(J9=Stand!J9,"S","H")</f>
        <v/>
      </c>
      <c r="W9" s="2">
        <f>IF(K9=Stand!K9,"S","H")</f>
        <v/>
      </c>
    </row>
    <row r="10" ht="15.75" customHeight="1" s="12">
      <c r="A10" s="5" t="n">
        <v>12</v>
      </c>
      <c r="B10" s="5">
        <f>MAX(Hit!B10,Stand!B10)</f>
        <v/>
      </c>
      <c r="C10" s="5">
        <f>MAX(Hit!C10,Stand!C10)</f>
        <v/>
      </c>
      <c r="D10" s="5">
        <f>MAX(Hit!D10,Stand!D10)</f>
        <v/>
      </c>
      <c r="E10" s="5">
        <f>MAX(Hit!E10,Stand!E10)</f>
        <v/>
      </c>
      <c r="F10" s="5">
        <f>MAX(Hit!F10,Stand!F10)</f>
        <v/>
      </c>
      <c r="G10" s="5">
        <f>MAX(Hit!G10,Stand!G10)</f>
        <v/>
      </c>
      <c r="H10" s="5">
        <f>MAX(Hit!H10,Stand!H10)</f>
        <v/>
      </c>
      <c r="I10" s="5">
        <f>MAX(Hit!I10,Stand!I10)</f>
        <v/>
      </c>
      <c r="J10" s="5">
        <f>MAX(Hit!J10,Stand!J10)</f>
        <v/>
      </c>
      <c r="K10" s="5">
        <f>MAX(Hit!K10,Stand!K10)</f>
        <v/>
      </c>
      <c r="M10" s="5" t="n">
        <v>12</v>
      </c>
      <c r="N10" s="2">
        <f>IF(B10=Stand!B10,"S","H")</f>
        <v/>
      </c>
      <c r="O10" s="2">
        <f>IF(C10=Stand!C10,"S","H")</f>
        <v/>
      </c>
      <c r="P10" s="2">
        <f>IF(D10=Stand!D10,"S","H")</f>
        <v/>
      </c>
      <c r="Q10" s="2">
        <f>IF(E10=Stand!E10,"S","H")</f>
        <v/>
      </c>
      <c r="R10" s="2">
        <f>IF(F10=Stand!F10,"S","H")</f>
        <v/>
      </c>
      <c r="S10" s="2">
        <f>IF(G10=Stand!G10,"S","H")</f>
        <v/>
      </c>
      <c r="T10" s="2">
        <f>IF(H10=Stand!H10,"S","H")</f>
        <v/>
      </c>
      <c r="U10" s="2">
        <f>IF(I10=Stand!I10,"S","H")</f>
        <v/>
      </c>
      <c r="V10" s="2">
        <f>IF(J10=Stand!J10,"S","H")</f>
        <v/>
      </c>
      <c r="W10" s="2">
        <f>IF(K10=Stand!K10,"S","H")</f>
        <v/>
      </c>
    </row>
    <row r="11" ht="15.75" customHeight="1" s="12">
      <c r="A11" s="5" t="n">
        <v>13</v>
      </c>
      <c r="B11" s="5">
        <f>MAX(Hit!B11,Stand!B11)</f>
        <v/>
      </c>
      <c r="C11" s="5">
        <f>MAX(Hit!C11,Stand!C11)</f>
        <v/>
      </c>
      <c r="D11" s="5">
        <f>MAX(Hit!D11,Stand!D11)</f>
        <v/>
      </c>
      <c r="E11" s="5">
        <f>MAX(Hit!E11,Stand!E11)</f>
        <v/>
      </c>
      <c r="F11" s="5">
        <f>MAX(Hit!F11,Stand!F11)</f>
        <v/>
      </c>
      <c r="G11" s="5">
        <f>MAX(Hit!G11,Stand!G11)</f>
        <v/>
      </c>
      <c r="H11" s="5">
        <f>MAX(Hit!H11,Stand!H11)</f>
        <v/>
      </c>
      <c r="I11" s="5">
        <f>MAX(Hit!I11,Stand!I11)</f>
        <v/>
      </c>
      <c r="J11" s="5">
        <f>MAX(Hit!J11,Stand!J11)</f>
        <v/>
      </c>
      <c r="K11" s="5">
        <f>MAX(Hit!K11,Stand!K11)</f>
        <v/>
      </c>
      <c r="M11" s="5" t="n">
        <v>13</v>
      </c>
      <c r="N11" s="2">
        <f>IF(B11=Stand!B11,"S","H")</f>
        <v/>
      </c>
      <c r="O11" s="2">
        <f>IF(C11=Stand!C11,"S","H")</f>
        <v/>
      </c>
      <c r="P11" s="2">
        <f>IF(D11=Stand!D11,"S","H")</f>
        <v/>
      </c>
      <c r="Q11" s="2">
        <f>IF(E11=Stand!E11,"S","H")</f>
        <v/>
      </c>
      <c r="R11" s="2">
        <f>IF(F11=Stand!F11,"S","H")</f>
        <v/>
      </c>
      <c r="S11" s="2">
        <f>IF(G11=Stand!G11,"S","H")</f>
        <v/>
      </c>
      <c r="T11" s="2">
        <f>IF(H11=Stand!H11,"S","H")</f>
        <v/>
      </c>
      <c r="U11" s="2">
        <f>IF(I11=Stand!I11,"S","H")</f>
        <v/>
      </c>
      <c r="V11" s="2">
        <f>IF(J11=Stand!J11,"S","H")</f>
        <v/>
      </c>
      <c r="W11" s="2">
        <f>IF(K11=Stand!K11,"S","H")</f>
        <v/>
      </c>
    </row>
    <row r="12" ht="15.75" customHeight="1" s="12">
      <c r="A12" s="5" t="n">
        <v>14</v>
      </c>
      <c r="B12" s="5">
        <f>MAX(Hit!B12,Stand!B12)</f>
        <v/>
      </c>
      <c r="C12" s="5">
        <f>MAX(Hit!C12,Stand!C12)</f>
        <v/>
      </c>
      <c r="D12" s="5">
        <f>MAX(Hit!D12,Stand!D12)</f>
        <v/>
      </c>
      <c r="E12" s="5">
        <f>MAX(Hit!E12,Stand!E12)</f>
        <v/>
      </c>
      <c r="F12" s="5">
        <f>MAX(Hit!F12,Stand!F12)</f>
        <v/>
      </c>
      <c r="G12" s="5">
        <f>MAX(Hit!G12,Stand!G12)</f>
        <v/>
      </c>
      <c r="H12" s="5">
        <f>MAX(Hit!H12,Stand!H12)</f>
        <v/>
      </c>
      <c r="I12" s="5">
        <f>MAX(Hit!I12,Stand!I12)</f>
        <v/>
      </c>
      <c r="J12" s="5">
        <f>MAX(Hit!J12,Stand!J12)</f>
        <v/>
      </c>
      <c r="K12" s="5">
        <f>MAX(Hit!K12,Stand!K12)</f>
        <v/>
      </c>
      <c r="M12" s="5" t="n">
        <v>14</v>
      </c>
      <c r="N12" s="2">
        <f>IF(B12=Stand!B12,"S","H")</f>
        <v/>
      </c>
      <c r="O12" s="2">
        <f>IF(C12=Stand!C12,"S","H")</f>
        <v/>
      </c>
      <c r="P12" s="2">
        <f>IF(D12=Stand!D12,"S","H")</f>
        <v/>
      </c>
      <c r="Q12" s="2">
        <f>IF(E12=Stand!E12,"S","H")</f>
        <v/>
      </c>
      <c r="R12" s="2">
        <f>IF(F12=Stand!F12,"S","H")</f>
        <v/>
      </c>
      <c r="S12" s="2">
        <f>IF(G12=Stand!G12,"S","H")</f>
        <v/>
      </c>
      <c r="T12" s="2">
        <f>IF(H12=Stand!H12,"S","H")</f>
        <v/>
      </c>
      <c r="U12" s="2">
        <f>IF(I12=Stand!I12,"S","H")</f>
        <v/>
      </c>
      <c r="V12" s="2">
        <f>IF(J12=Stand!J12,"S","H")</f>
        <v/>
      </c>
      <c r="W12" s="2">
        <f>IF(K12=Stand!K12,"S","H")</f>
        <v/>
      </c>
    </row>
    <row r="13" ht="15.75" customHeight="1" s="12">
      <c r="A13" s="5" t="n">
        <v>15</v>
      </c>
      <c r="B13" s="5">
        <f>MAX(Hit!B13,Stand!B13)</f>
        <v/>
      </c>
      <c r="C13" s="5">
        <f>MAX(Hit!C13,Stand!C13)</f>
        <v/>
      </c>
      <c r="D13" s="5">
        <f>MAX(Hit!D13,Stand!D13)</f>
        <v/>
      </c>
      <c r="E13" s="5">
        <f>MAX(Hit!E13,Stand!E13)</f>
        <v/>
      </c>
      <c r="F13" s="5">
        <f>MAX(Hit!F13,Stand!F13)</f>
        <v/>
      </c>
      <c r="G13" s="5">
        <f>MAX(Hit!G13,Stand!G13)</f>
        <v/>
      </c>
      <c r="H13" s="5">
        <f>MAX(Hit!H13,Stand!H13)</f>
        <v/>
      </c>
      <c r="I13" s="5">
        <f>MAX(Hit!I13,Stand!I13)</f>
        <v/>
      </c>
      <c r="J13" s="5">
        <f>MAX(Hit!J13,Stand!J13)</f>
        <v/>
      </c>
      <c r="K13" s="5">
        <f>MAX(Hit!K13,Stand!K13)</f>
        <v/>
      </c>
      <c r="M13" s="5" t="n">
        <v>15</v>
      </c>
      <c r="N13" s="2">
        <f>IF(B13=Stand!B13,"S","H")</f>
        <v/>
      </c>
      <c r="O13" s="2">
        <f>IF(C13=Stand!C13,"S","H")</f>
        <v/>
      </c>
      <c r="P13" s="2">
        <f>IF(D13=Stand!D13,"S","H")</f>
        <v/>
      </c>
      <c r="Q13" s="2">
        <f>IF(E13=Stand!E13,"S","H")</f>
        <v/>
      </c>
      <c r="R13" s="2">
        <f>IF(F13=Stand!F13,"S","H")</f>
        <v/>
      </c>
      <c r="S13" s="2">
        <f>IF(G13=Stand!G13,"S","H")</f>
        <v/>
      </c>
      <c r="T13" s="2">
        <f>IF(H13=Stand!H13,"S","H")</f>
        <v/>
      </c>
      <c r="U13" s="2">
        <f>IF(I13=Stand!I13,"S","H")</f>
        <v/>
      </c>
      <c r="V13" s="2">
        <f>IF(J13=Stand!J13,"S","H")</f>
        <v/>
      </c>
      <c r="W13" s="2">
        <f>IF(K13=Stand!K13,"S","H")</f>
        <v/>
      </c>
    </row>
    <row r="14" ht="15.75" customHeight="1" s="12">
      <c r="A14" s="5" t="n">
        <v>16</v>
      </c>
      <c r="B14" s="5">
        <f>MAX(Hit!B14,Stand!B14)</f>
        <v/>
      </c>
      <c r="C14" s="5">
        <f>MAX(Hit!C14,Stand!C14)</f>
        <v/>
      </c>
      <c r="D14" s="5">
        <f>MAX(Hit!D14,Stand!D14)</f>
        <v/>
      </c>
      <c r="E14" s="5">
        <f>MAX(Hit!E14,Stand!E14)</f>
        <v/>
      </c>
      <c r="F14" s="5">
        <f>MAX(Hit!F14,Stand!F14)</f>
        <v/>
      </c>
      <c r="G14" s="5">
        <f>MAX(Hit!G14,Stand!G14)</f>
        <v/>
      </c>
      <c r="H14" s="5">
        <f>MAX(Hit!H14,Stand!H14)</f>
        <v/>
      </c>
      <c r="I14" s="5">
        <f>MAX(Hit!I14,Stand!I14)</f>
        <v/>
      </c>
      <c r="J14" s="5">
        <f>MAX(Hit!J14,Stand!J14)</f>
        <v/>
      </c>
      <c r="K14" s="5">
        <f>MAX(Hit!K14,Stand!K14)</f>
        <v/>
      </c>
      <c r="M14" s="5" t="n">
        <v>16</v>
      </c>
      <c r="N14" s="2">
        <f>IF(B14=Stand!B14,"S","H")</f>
        <v/>
      </c>
      <c r="O14" s="2">
        <f>IF(C14=Stand!C14,"S","H")</f>
        <v/>
      </c>
      <c r="P14" s="2">
        <f>IF(D14=Stand!D14,"S","H")</f>
        <v/>
      </c>
      <c r="Q14" s="2">
        <f>IF(E14=Stand!E14,"S","H")</f>
        <v/>
      </c>
      <c r="R14" s="2">
        <f>IF(F14=Stand!F14,"S","H")</f>
        <v/>
      </c>
      <c r="S14" s="2">
        <f>IF(G14=Stand!G14,"S","H")</f>
        <v/>
      </c>
      <c r="T14" s="2">
        <f>IF(H14=Stand!H14,"S","H")</f>
        <v/>
      </c>
      <c r="U14" s="2">
        <f>IF(I14=Stand!I14,"S","H")</f>
        <v/>
      </c>
      <c r="V14" s="2">
        <f>IF(J14=Stand!J14,"S","H")</f>
        <v/>
      </c>
      <c r="W14" s="2">
        <f>IF(K14=Stand!K14,"S","H")</f>
        <v/>
      </c>
    </row>
    <row r="15" ht="15.75" customHeight="1" s="12">
      <c r="A15" s="5" t="n">
        <v>17</v>
      </c>
      <c r="B15" s="5">
        <f>MAX(Hit!B15,Stand!B15)</f>
        <v/>
      </c>
      <c r="C15" s="5">
        <f>MAX(Hit!C15,Stand!C15)</f>
        <v/>
      </c>
      <c r="D15" s="5">
        <f>MAX(Hit!D15,Stand!D15)</f>
        <v/>
      </c>
      <c r="E15" s="5">
        <f>MAX(Hit!E15,Stand!E15)</f>
        <v/>
      </c>
      <c r="F15" s="5">
        <f>MAX(Hit!F15,Stand!F15)</f>
        <v/>
      </c>
      <c r="G15" s="5">
        <f>MAX(Hit!G15,Stand!G15)</f>
        <v/>
      </c>
      <c r="H15" s="5">
        <f>MAX(Hit!H15,Stand!H15)</f>
        <v/>
      </c>
      <c r="I15" s="5">
        <f>MAX(Hit!I15,Stand!I15)</f>
        <v/>
      </c>
      <c r="J15" s="5">
        <f>MAX(Hit!J15,Stand!J15)</f>
        <v/>
      </c>
      <c r="K15" s="5">
        <f>MAX(Hit!K15,Stand!K15)</f>
        <v/>
      </c>
      <c r="M15" s="5" t="n">
        <v>17</v>
      </c>
      <c r="N15" s="2">
        <f>IF(B15=Stand!B15,"S","H")</f>
        <v/>
      </c>
      <c r="O15" s="2">
        <f>IF(C15=Stand!C15,"S","H")</f>
        <v/>
      </c>
      <c r="P15" s="2">
        <f>IF(D15=Stand!D15,"S","H")</f>
        <v/>
      </c>
      <c r="Q15" s="2">
        <f>IF(E15=Stand!E15,"S","H")</f>
        <v/>
      </c>
      <c r="R15" s="2">
        <f>IF(F15=Stand!F15,"S","H")</f>
        <v/>
      </c>
      <c r="S15" s="2">
        <f>IF(G15=Stand!G15,"S","H")</f>
        <v/>
      </c>
      <c r="T15" s="2">
        <f>IF(H15=Stand!H15,"S","H")</f>
        <v/>
      </c>
      <c r="U15" s="2">
        <f>IF(I15=Stand!I15,"S","H")</f>
        <v/>
      </c>
      <c r="V15" s="2">
        <f>IF(J15=Stand!J15,"S","H")</f>
        <v/>
      </c>
      <c r="W15" s="2">
        <f>IF(K15=Stand!K15,"S","H")</f>
        <v/>
      </c>
    </row>
    <row r="16" ht="15.75" customHeight="1" s="12">
      <c r="A16" s="5" t="n">
        <v>18</v>
      </c>
      <c r="B16" s="5">
        <f>MAX(Hit!B16,Stand!B16)</f>
        <v/>
      </c>
      <c r="C16" s="5">
        <f>MAX(Hit!C16,Stand!C16)</f>
        <v/>
      </c>
      <c r="D16" s="5">
        <f>MAX(Hit!D16,Stand!D16)</f>
        <v/>
      </c>
      <c r="E16" s="5">
        <f>MAX(Hit!E16,Stand!E16)</f>
        <v/>
      </c>
      <c r="F16" s="5">
        <f>MAX(Hit!F16,Stand!F16)</f>
        <v/>
      </c>
      <c r="G16" s="5">
        <f>MAX(Hit!G16,Stand!G16)</f>
        <v/>
      </c>
      <c r="H16" s="5">
        <f>MAX(Hit!H16,Stand!H16)</f>
        <v/>
      </c>
      <c r="I16" s="5">
        <f>MAX(Hit!I16,Stand!I16)</f>
        <v/>
      </c>
      <c r="J16" s="5">
        <f>MAX(Hit!J16,Stand!J16)</f>
        <v/>
      </c>
      <c r="K16" s="5">
        <f>MAX(Hit!K16,Stand!K16)</f>
        <v/>
      </c>
      <c r="M16" s="5" t="n">
        <v>18</v>
      </c>
      <c r="N16" s="2">
        <f>IF(B16=Stand!B16,"S","H")</f>
        <v/>
      </c>
      <c r="O16" s="2">
        <f>IF(C16=Stand!C16,"S","H")</f>
        <v/>
      </c>
      <c r="P16" s="2">
        <f>IF(D16=Stand!D16,"S","H")</f>
        <v/>
      </c>
      <c r="Q16" s="2">
        <f>IF(E16=Stand!E16,"S","H")</f>
        <v/>
      </c>
      <c r="R16" s="2">
        <f>IF(F16=Stand!F16,"S","H")</f>
        <v/>
      </c>
      <c r="S16" s="2">
        <f>IF(G16=Stand!G16,"S","H")</f>
        <v/>
      </c>
      <c r="T16" s="2">
        <f>IF(H16=Stand!H16,"S","H")</f>
        <v/>
      </c>
      <c r="U16" s="2">
        <f>IF(I16=Stand!I16,"S","H")</f>
        <v/>
      </c>
      <c r="V16" s="2">
        <f>IF(J16=Stand!J16,"S","H")</f>
        <v/>
      </c>
      <c r="W16" s="2">
        <f>IF(K16=Stand!K16,"S","H")</f>
        <v/>
      </c>
    </row>
    <row r="17" ht="15.75" customHeight="1" s="12">
      <c r="A17" s="5" t="n">
        <v>19</v>
      </c>
      <c r="B17" s="5">
        <f>MAX(Hit!B17,Stand!B17)</f>
        <v/>
      </c>
      <c r="C17" s="5">
        <f>MAX(Hit!C17,Stand!C17)</f>
        <v/>
      </c>
      <c r="D17" s="5">
        <f>MAX(Hit!D17,Stand!D17)</f>
        <v/>
      </c>
      <c r="E17" s="5">
        <f>MAX(Hit!E17,Stand!E17)</f>
        <v/>
      </c>
      <c r="F17" s="5">
        <f>MAX(Hit!F17,Stand!F17)</f>
        <v/>
      </c>
      <c r="G17" s="5">
        <f>MAX(Hit!G17,Stand!G17)</f>
        <v/>
      </c>
      <c r="H17" s="5">
        <f>MAX(Hit!H17,Stand!H17)</f>
        <v/>
      </c>
      <c r="I17" s="5">
        <f>MAX(Hit!I17,Stand!I17)</f>
        <v/>
      </c>
      <c r="J17" s="5">
        <f>MAX(Hit!J17,Stand!J17)</f>
        <v/>
      </c>
      <c r="K17" s="5">
        <f>MAX(Hit!K17,Stand!K17)</f>
        <v/>
      </c>
      <c r="M17" s="5" t="n">
        <v>19</v>
      </c>
      <c r="N17" s="2">
        <f>IF(B17=Stand!B17,"S","H")</f>
        <v/>
      </c>
      <c r="O17" s="2">
        <f>IF(C17=Stand!C17,"S","H")</f>
        <v/>
      </c>
      <c r="P17" s="2">
        <f>IF(D17=Stand!D17,"S","H")</f>
        <v/>
      </c>
      <c r="Q17" s="2">
        <f>IF(E17=Stand!E17,"S","H")</f>
        <v/>
      </c>
      <c r="R17" s="2">
        <f>IF(F17=Stand!F17,"S","H")</f>
        <v/>
      </c>
      <c r="S17" s="2">
        <f>IF(G17=Stand!G17,"S","H")</f>
        <v/>
      </c>
      <c r="T17" s="2">
        <f>IF(H17=Stand!H17,"S","H")</f>
        <v/>
      </c>
      <c r="U17" s="2">
        <f>IF(I17=Stand!I17,"S","H")</f>
        <v/>
      </c>
      <c r="V17" s="2">
        <f>IF(J17=Stand!J17,"S","H")</f>
        <v/>
      </c>
      <c r="W17" s="2">
        <f>IF(K17=Stand!K17,"S","H")</f>
        <v/>
      </c>
    </row>
    <row r="18" ht="15.75" customHeight="1" s="12">
      <c r="A18" s="5" t="n">
        <v>20</v>
      </c>
      <c r="B18" s="5">
        <f>MAX(Hit!B18,Stand!B18)</f>
        <v/>
      </c>
      <c r="C18" s="5">
        <f>MAX(Hit!C18,Stand!C18)</f>
        <v/>
      </c>
      <c r="D18" s="5">
        <f>MAX(Hit!D18,Stand!D18)</f>
        <v/>
      </c>
      <c r="E18" s="5">
        <f>MAX(Hit!E18,Stand!E18)</f>
        <v/>
      </c>
      <c r="F18" s="5">
        <f>MAX(Hit!F18,Stand!F18)</f>
        <v/>
      </c>
      <c r="G18" s="5">
        <f>MAX(Hit!G18,Stand!G18)</f>
        <v/>
      </c>
      <c r="H18" s="5">
        <f>MAX(Hit!H18,Stand!H18)</f>
        <v/>
      </c>
      <c r="I18" s="5">
        <f>MAX(Hit!I18,Stand!I18)</f>
        <v/>
      </c>
      <c r="J18" s="5">
        <f>MAX(Hit!J18,Stand!J18)</f>
        <v/>
      </c>
      <c r="K18" s="5">
        <f>MAX(Hit!K18,Stand!K18)</f>
        <v/>
      </c>
      <c r="M18" s="5" t="n">
        <v>20</v>
      </c>
      <c r="N18" s="2">
        <f>IF(B18=Stand!B18,"S","H")</f>
        <v/>
      </c>
      <c r="O18" s="2">
        <f>IF(C18=Stand!C18,"S","H")</f>
        <v/>
      </c>
      <c r="P18" s="2">
        <f>IF(D18=Stand!D18,"S","H")</f>
        <v/>
      </c>
      <c r="Q18" s="2">
        <f>IF(E18=Stand!E18,"S","H")</f>
        <v/>
      </c>
      <c r="R18" s="2">
        <f>IF(F18=Stand!F18,"S","H")</f>
        <v/>
      </c>
      <c r="S18" s="2">
        <f>IF(G18=Stand!G18,"S","H")</f>
        <v/>
      </c>
      <c r="T18" s="2">
        <f>IF(H18=Stand!H18,"S","H")</f>
        <v/>
      </c>
      <c r="U18" s="2">
        <f>IF(I18=Stand!I18,"S","H")</f>
        <v/>
      </c>
      <c r="V18" s="2">
        <f>IF(J18=Stand!J18,"S","H")</f>
        <v/>
      </c>
      <c r="W18" s="2">
        <f>IF(K18=Stand!K18,"S","H")</f>
        <v/>
      </c>
    </row>
    <row r="19" ht="15.75" customHeight="1" s="12">
      <c r="A19" s="5" t="n">
        <v>21</v>
      </c>
      <c r="B19" s="5">
        <f>MAX(Hit!B19,Stand!B19)</f>
        <v/>
      </c>
      <c r="C19" s="5">
        <f>MAX(Hit!C19,Stand!C19)</f>
        <v/>
      </c>
      <c r="D19" s="5">
        <f>MAX(Hit!D19,Stand!D19)</f>
        <v/>
      </c>
      <c r="E19" s="5">
        <f>MAX(Hit!E19,Stand!E19)</f>
        <v/>
      </c>
      <c r="F19" s="5">
        <f>MAX(Hit!F19,Stand!F19)</f>
        <v/>
      </c>
      <c r="G19" s="5">
        <f>MAX(Hit!G19,Stand!G19)</f>
        <v/>
      </c>
      <c r="H19" s="5">
        <f>MAX(Hit!H19,Stand!H19)</f>
        <v/>
      </c>
      <c r="I19" s="5">
        <f>MAX(Hit!I19,Stand!I19)</f>
        <v/>
      </c>
      <c r="J19" s="5">
        <f>MAX(Hit!J19,Stand!J19)</f>
        <v/>
      </c>
      <c r="K19" s="5">
        <f>MAX(Hit!K19,Stand!K19)</f>
        <v/>
      </c>
      <c r="M19" s="5" t="n">
        <v>21</v>
      </c>
      <c r="N19" s="2">
        <f>IF(B19=Stand!B19,"S","H")</f>
        <v/>
      </c>
      <c r="O19" s="2">
        <f>IF(C19=Stand!C19,"S","H")</f>
        <v/>
      </c>
      <c r="P19" s="2">
        <f>IF(D19=Stand!D19,"S","H")</f>
        <v/>
      </c>
      <c r="Q19" s="2">
        <f>IF(E19=Stand!E19,"S","H")</f>
        <v/>
      </c>
      <c r="R19" s="2">
        <f>IF(F19=Stand!F19,"S","H")</f>
        <v/>
      </c>
      <c r="S19" s="2">
        <f>IF(G19=Stand!G19,"S","H")</f>
        <v/>
      </c>
      <c r="T19" s="2">
        <f>IF(H19=Stand!H19,"S","H")</f>
        <v/>
      </c>
      <c r="U19" s="2">
        <f>IF(I19=Stand!I19,"S","H")</f>
        <v/>
      </c>
      <c r="V19" s="2">
        <f>IF(J19=Stand!J19,"S","H")</f>
        <v/>
      </c>
      <c r="W19" s="2">
        <f>IF(K19=Stand!K19,"S","H")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MAX(Hit!B32,Stand!B32)</f>
        <v/>
      </c>
      <c r="C32" s="5">
        <f>MAX(Hit!C32,Stand!C32)</f>
        <v/>
      </c>
      <c r="D32" s="5">
        <f>MAX(Hit!D32,Stand!D32)</f>
        <v/>
      </c>
      <c r="E32" s="5">
        <f>MAX(Hit!E32,Stand!E32)</f>
        <v/>
      </c>
      <c r="F32" s="5">
        <f>MAX(Hit!F32,Stand!F32)</f>
        <v/>
      </c>
      <c r="G32" s="5">
        <f>MAX(Hit!G32,Stand!G32)</f>
        <v/>
      </c>
      <c r="H32" s="5">
        <f>MAX(Hit!H32,Stand!H32)</f>
        <v/>
      </c>
      <c r="I32" s="5">
        <f>MAX(Hit!I32,Stand!I32)</f>
        <v/>
      </c>
      <c r="J32" s="5">
        <f>MAX(Hit!J32,Stand!J32)</f>
        <v/>
      </c>
      <c r="K32" s="5">
        <f>MAX(Hit!K32,Stand!K32)</f>
        <v/>
      </c>
      <c r="M32" s="5" t="n">
        <v>12</v>
      </c>
      <c r="N32" s="2">
        <f>IF(B32=Stand!B32,"S","H")</f>
        <v/>
      </c>
      <c r="O32" s="2">
        <f>IF(C32=Stand!C32,"S","H")</f>
        <v/>
      </c>
      <c r="P32" s="2">
        <f>IF(D32=Stand!D32,"S","H")</f>
        <v/>
      </c>
      <c r="Q32" s="2">
        <f>IF(E32=Stand!E32,"S","H")</f>
        <v/>
      </c>
      <c r="R32" s="2">
        <f>IF(F32=Stand!F32,"S","H")</f>
        <v/>
      </c>
      <c r="S32" s="2">
        <f>IF(G32=Stand!G32,"S","H")</f>
        <v/>
      </c>
      <c r="T32" s="2">
        <f>IF(H32=Stand!H32,"S","H")</f>
        <v/>
      </c>
      <c r="U32" s="2">
        <f>IF(I32=Stand!I32,"S","H")</f>
        <v/>
      </c>
      <c r="V32" s="2">
        <f>IF(J32=Stand!J32,"S","H")</f>
        <v/>
      </c>
      <c r="W32" s="2">
        <f>IF(K32=Stand!K32,"S","H")</f>
        <v/>
      </c>
    </row>
    <row r="33" ht="12.5" customHeight="1" s="12">
      <c r="A33" s="5" t="n">
        <v>13</v>
      </c>
      <c r="B33" s="5">
        <f>MAX(Hit!B33,Stand!B33)</f>
        <v/>
      </c>
      <c r="C33" s="5">
        <f>MAX(Hit!C33,Stand!C33)</f>
        <v/>
      </c>
      <c r="D33" s="5">
        <f>MAX(Hit!D33,Stand!D33)</f>
        <v/>
      </c>
      <c r="E33" s="5">
        <f>MAX(Hit!E33,Stand!E33)</f>
        <v/>
      </c>
      <c r="F33" s="5">
        <f>MAX(Hit!F33,Stand!F33)</f>
        <v/>
      </c>
      <c r="G33" s="5">
        <f>MAX(Hit!G33,Stand!G33)</f>
        <v/>
      </c>
      <c r="H33" s="5">
        <f>MAX(Hit!H33,Stand!H33)</f>
        <v/>
      </c>
      <c r="I33" s="5">
        <f>MAX(Hit!I33,Stand!I33)</f>
        <v/>
      </c>
      <c r="J33" s="5">
        <f>MAX(Hit!J33,Stand!J33)</f>
        <v/>
      </c>
      <c r="K33" s="5">
        <f>MAX(Hit!K33,Stand!K33)</f>
        <v/>
      </c>
      <c r="M33" s="5" t="n">
        <v>13</v>
      </c>
      <c r="N33" s="2">
        <f>IF(B33=Stand!B33,"S","H")</f>
        <v/>
      </c>
      <c r="O33" s="2">
        <f>IF(C33=Stand!C33,"S","H")</f>
        <v/>
      </c>
      <c r="P33" s="2">
        <f>IF(D33=Stand!D33,"S","H")</f>
        <v/>
      </c>
      <c r="Q33" s="2">
        <f>IF(E33=Stand!E33,"S","H")</f>
        <v/>
      </c>
      <c r="R33" s="2">
        <f>IF(F33=Stand!F33,"S","H")</f>
        <v/>
      </c>
      <c r="S33" s="2">
        <f>IF(G33=Stand!G33,"S","H")</f>
        <v/>
      </c>
      <c r="T33" s="2">
        <f>IF(H33=Stand!H33,"S","H")</f>
        <v/>
      </c>
      <c r="U33" s="2">
        <f>IF(I33=Stand!I33,"S","H")</f>
        <v/>
      </c>
      <c r="V33" s="2">
        <f>IF(J33=Stand!J33,"S","H")</f>
        <v/>
      </c>
      <c r="W33" s="2">
        <f>IF(K33=Stand!K33,"S","H")</f>
        <v/>
      </c>
    </row>
    <row r="34" ht="12.5" customHeight="1" s="12">
      <c r="A34" s="5" t="n">
        <v>14</v>
      </c>
      <c r="B34" s="5">
        <f>MAX(Hit!B34,Stand!B34)</f>
        <v/>
      </c>
      <c r="C34" s="5">
        <f>MAX(Hit!C34,Stand!C34)</f>
        <v/>
      </c>
      <c r="D34" s="5">
        <f>MAX(Hit!D34,Stand!D34)</f>
        <v/>
      </c>
      <c r="E34" s="5">
        <f>MAX(Hit!E34,Stand!E34)</f>
        <v/>
      </c>
      <c r="F34" s="5">
        <f>MAX(Hit!F34,Stand!F34)</f>
        <v/>
      </c>
      <c r="G34" s="5">
        <f>MAX(Hit!G34,Stand!G34)</f>
        <v/>
      </c>
      <c r="H34" s="5">
        <f>MAX(Hit!H34,Stand!H34)</f>
        <v/>
      </c>
      <c r="I34" s="5">
        <f>MAX(Hit!I34,Stand!I34)</f>
        <v/>
      </c>
      <c r="J34" s="5">
        <f>MAX(Hit!J34,Stand!J34)</f>
        <v/>
      </c>
      <c r="K34" s="5">
        <f>MAX(Hit!K34,Stand!K34)</f>
        <v/>
      </c>
      <c r="M34" s="5" t="n">
        <v>14</v>
      </c>
      <c r="N34" s="2">
        <f>IF(B34=Stand!B34,"S","H")</f>
        <v/>
      </c>
      <c r="O34" s="2">
        <f>IF(C34=Stand!C34,"S","H")</f>
        <v/>
      </c>
      <c r="P34" s="2">
        <f>IF(D34=Stand!D34,"S","H")</f>
        <v/>
      </c>
      <c r="Q34" s="2">
        <f>IF(E34=Stand!E34,"S","H")</f>
        <v/>
      </c>
      <c r="R34" s="2">
        <f>IF(F34=Stand!F34,"S","H")</f>
        <v/>
      </c>
      <c r="S34" s="2">
        <f>IF(G34=Stand!G34,"S","H")</f>
        <v/>
      </c>
      <c r="T34" s="2">
        <f>IF(H34=Stand!H34,"S","H")</f>
        <v/>
      </c>
      <c r="U34" s="2">
        <f>IF(I34=Stand!I34,"S","H")</f>
        <v/>
      </c>
      <c r="V34" s="2">
        <f>IF(J34=Stand!J34,"S","H")</f>
        <v/>
      </c>
      <c r="W34" s="2">
        <f>IF(K34=Stand!K34,"S","H")</f>
        <v/>
      </c>
    </row>
    <row r="35" ht="12.5" customHeight="1" s="12">
      <c r="A35" s="5" t="n">
        <v>15</v>
      </c>
      <c r="B35" s="5">
        <f>MAX(Hit!B35,Stand!B35)</f>
        <v/>
      </c>
      <c r="C35" s="5">
        <f>MAX(Hit!C35,Stand!C35)</f>
        <v/>
      </c>
      <c r="D35" s="5">
        <f>MAX(Hit!D35,Stand!D35)</f>
        <v/>
      </c>
      <c r="E35" s="5">
        <f>MAX(Hit!E35,Stand!E35)</f>
        <v/>
      </c>
      <c r="F35" s="5">
        <f>MAX(Hit!F35,Stand!F35)</f>
        <v/>
      </c>
      <c r="G35" s="5">
        <f>MAX(Hit!G35,Stand!G35)</f>
        <v/>
      </c>
      <c r="H35" s="5">
        <f>MAX(Hit!H35,Stand!H35)</f>
        <v/>
      </c>
      <c r="I35" s="5">
        <f>MAX(Hit!I35,Stand!I35)</f>
        <v/>
      </c>
      <c r="J35" s="5">
        <f>MAX(Hit!J35,Stand!J35)</f>
        <v/>
      </c>
      <c r="K35" s="5">
        <f>MAX(Hit!K35,Stand!K35)</f>
        <v/>
      </c>
      <c r="M35" s="5" t="n">
        <v>15</v>
      </c>
      <c r="N35" s="2">
        <f>IF(B35=Stand!B35,"S","H")</f>
        <v/>
      </c>
      <c r="O35" s="2">
        <f>IF(C35=Stand!C35,"S","H")</f>
        <v/>
      </c>
      <c r="P35" s="2">
        <f>IF(D35=Stand!D35,"S","H")</f>
        <v/>
      </c>
      <c r="Q35" s="2">
        <f>IF(E35=Stand!E35,"S","H")</f>
        <v/>
      </c>
      <c r="R35" s="2">
        <f>IF(F35=Stand!F35,"S","H")</f>
        <v/>
      </c>
      <c r="S35" s="2">
        <f>IF(G35=Stand!G35,"S","H")</f>
        <v/>
      </c>
      <c r="T35" s="2">
        <f>IF(H35=Stand!H35,"S","H")</f>
        <v/>
      </c>
      <c r="U35" s="2">
        <f>IF(I35=Stand!I35,"S","H")</f>
        <v/>
      </c>
      <c r="V35" s="2">
        <f>IF(J35=Stand!J35,"S","H")</f>
        <v/>
      </c>
      <c r="W35" s="2">
        <f>IF(K35=Stand!K35,"S","H")</f>
        <v/>
      </c>
    </row>
    <row r="36" ht="12.5" customHeight="1" s="12">
      <c r="A36" s="5" t="n">
        <v>16</v>
      </c>
      <c r="B36" s="5">
        <f>MAX(Hit!B36,Stand!B36)</f>
        <v/>
      </c>
      <c r="C36" s="5">
        <f>MAX(Hit!C36,Stand!C36)</f>
        <v/>
      </c>
      <c r="D36" s="5">
        <f>MAX(Hit!D36,Stand!D36)</f>
        <v/>
      </c>
      <c r="E36" s="5">
        <f>MAX(Hit!E36,Stand!E36)</f>
        <v/>
      </c>
      <c r="F36" s="5">
        <f>MAX(Hit!F36,Stand!F36)</f>
        <v/>
      </c>
      <c r="G36" s="5">
        <f>MAX(Hit!G36,Stand!G36)</f>
        <v/>
      </c>
      <c r="H36" s="5">
        <f>MAX(Hit!H36,Stand!H36)</f>
        <v/>
      </c>
      <c r="I36" s="5">
        <f>MAX(Hit!I36,Stand!I36)</f>
        <v/>
      </c>
      <c r="J36" s="5">
        <f>MAX(Hit!J36,Stand!J36)</f>
        <v/>
      </c>
      <c r="K36" s="5">
        <f>MAX(Hit!K36,Stand!K36)</f>
        <v/>
      </c>
      <c r="M36" s="5" t="n">
        <v>16</v>
      </c>
      <c r="N36" s="2">
        <f>IF(B36=Stand!B36,"S","H")</f>
        <v/>
      </c>
      <c r="O36" s="2">
        <f>IF(C36=Stand!C36,"S","H")</f>
        <v/>
      </c>
      <c r="P36" s="2">
        <f>IF(D36=Stand!D36,"S","H")</f>
        <v/>
      </c>
      <c r="Q36" s="2">
        <f>IF(E36=Stand!E36,"S","H")</f>
        <v/>
      </c>
      <c r="R36" s="2">
        <f>IF(F36=Stand!F36,"S","H")</f>
        <v/>
      </c>
      <c r="S36" s="2">
        <f>IF(G36=Stand!G36,"S","H")</f>
        <v/>
      </c>
      <c r="T36" s="2">
        <f>IF(H36=Stand!H36,"S","H")</f>
        <v/>
      </c>
      <c r="U36" s="2">
        <f>IF(I36=Stand!I36,"S","H")</f>
        <v/>
      </c>
      <c r="V36" s="2">
        <f>IF(J36=Stand!J36,"S","H")</f>
        <v/>
      </c>
      <c r="W36" s="2">
        <f>IF(K36=Stand!K36,"S","H")</f>
        <v/>
      </c>
    </row>
    <row r="37" ht="12.5" customHeight="1" s="12">
      <c r="A37" s="5" t="n">
        <v>17</v>
      </c>
      <c r="B37" s="5">
        <f>MAX(Hit!B37,Stand!B37)</f>
        <v/>
      </c>
      <c r="C37" s="5">
        <f>MAX(Hit!C37,Stand!C37)</f>
        <v/>
      </c>
      <c r="D37" s="5">
        <f>MAX(Hit!D37,Stand!D37)</f>
        <v/>
      </c>
      <c r="E37" s="5">
        <f>MAX(Hit!E37,Stand!E37)</f>
        <v/>
      </c>
      <c r="F37" s="5">
        <f>MAX(Hit!F37,Stand!F37)</f>
        <v/>
      </c>
      <c r="G37" s="5">
        <f>MAX(Hit!G37,Stand!G37)</f>
        <v/>
      </c>
      <c r="H37" s="5">
        <f>MAX(Hit!H37,Stand!H37)</f>
        <v/>
      </c>
      <c r="I37" s="5">
        <f>MAX(Hit!I37,Stand!I37)</f>
        <v/>
      </c>
      <c r="J37" s="5">
        <f>MAX(Hit!J37,Stand!J37)</f>
        <v/>
      </c>
      <c r="K37" s="5">
        <f>MAX(Hit!K37,Stand!K37)</f>
        <v/>
      </c>
      <c r="M37" s="5" t="n">
        <v>17</v>
      </c>
      <c r="N37" s="2">
        <f>IF(B37=Stand!B37,"S","H")</f>
        <v/>
      </c>
      <c r="O37" s="2">
        <f>IF(C37=Stand!C37,"S","H")</f>
        <v/>
      </c>
      <c r="P37" s="2">
        <f>IF(D37=Stand!D37,"S","H")</f>
        <v/>
      </c>
      <c r="Q37" s="2">
        <f>IF(E37=Stand!E37,"S","H")</f>
        <v/>
      </c>
      <c r="R37" s="2">
        <f>IF(F37=Stand!F37,"S","H")</f>
        <v/>
      </c>
      <c r="S37" s="2">
        <f>IF(G37=Stand!G37,"S","H")</f>
        <v/>
      </c>
      <c r="T37" s="2">
        <f>IF(H37=Stand!H37,"S","H")</f>
        <v/>
      </c>
      <c r="U37" s="2">
        <f>IF(I37=Stand!I37,"S","H")</f>
        <v/>
      </c>
      <c r="V37" s="2">
        <f>IF(J37=Stand!J37,"S","H")</f>
        <v/>
      </c>
      <c r="W37" s="2">
        <f>IF(K37=Stand!K37,"S","H")</f>
        <v/>
      </c>
    </row>
    <row r="38" ht="12.5" customHeight="1" s="12">
      <c r="A38" s="5" t="n">
        <v>18</v>
      </c>
      <c r="B38" s="5">
        <f>MAX(Hit!B38,Stand!B38)</f>
        <v/>
      </c>
      <c r="C38" s="5">
        <f>MAX(Hit!C38,Stand!C38)</f>
        <v/>
      </c>
      <c r="D38" s="5">
        <f>MAX(Hit!D38,Stand!D38)</f>
        <v/>
      </c>
      <c r="E38" s="5">
        <f>MAX(Hit!E38,Stand!E38)</f>
        <v/>
      </c>
      <c r="F38" s="5">
        <f>MAX(Hit!F38,Stand!F38)</f>
        <v/>
      </c>
      <c r="G38" s="5">
        <f>MAX(Hit!G38,Stand!G38)</f>
        <v/>
      </c>
      <c r="H38" s="5">
        <f>MAX(Hit!H38,Stand!H38)</f>
        <v/>
      </c>
      <c r="I38" s="5">
        <f>MAX(Hit!I38,Stand!I38)</f>
        <v/>
      </c>
      <c r="J38" s="5">
        <f>MAX(Hit!J38,Stand!J38)</f>
        <v/>
      </c>
      <c r="K38" s="5">
        <f>MAX(Hit!K38,Stand!K38)</f>
        <v/>
      </c>
      <c r="M38" s="5" t="n">
        <v>18</v>
      </c>
      <c r="N38" s="2">
        <f>IF(B38=Stand!B38,"S","H")</f>
        <v/>
      </c>
      <c r="O38" s="2">
        <f>IF(C38=Stand!C38,"S","H")</f>
        <v/>
      </c>
      <c r="P38" s="2">
        <f>IF(D38=Stand!D38,"S","H")</f>
        <v/>
      </c>
      <c r="Q38" s="2">
        <f>IF(E38=Stand!E38,"S","H")</f>
        <v/>
      </c>
      <c r="R38" s="2">
        <f>IF(F38=Stand!F38,"S","H")</f>
        <v/>
      </c>
      <c r="S38" s="2">
        <f>IF(G38=Stand!G38,"S","H")</f>
        <v/>
      </c>
      <c r="T38" s="2">
        <f>IF(H38=Stand!H38,"S","H")</f>
        <v/>
      </c>
      <c r="U38" s="2">
        <f>IF(I38=Stand!I38,"S","H")</f>
        <v/>
      </c>
      <c r="V38" s="2">
        <f>IF(J38=Stand!J38,"S","H")</f>
        <v/>
      </c>
      <c r="W38" s="2">
        <f>IF(K38=Stand!K38,"S","H")</f>
        <v/>
      </c>
    </row>
    <row r="39" ht="12.5" customHeight="1" s="12">
      <c r="A39" s="5" t="n">
        <v>19</v>
      </c>
      <c r="B39" s="5">
        <f>MAX(Hit!B39,Stand!B39)</f>
        <v/>
      </c>
      <c r="C39" s="5">
        <f>MAX(Hit!C39,Stand!C39)</f>
        <v/>
      </c>
      <c r="D39" s="5">
        <f>MAX(Hit!D39,Stand!D39)</f>
        <v/>
      </c>
      <c r="E39" s="5">
        <f>MAX(Hit!E39,Stand!E39)</f>
        <v/>
      </c>
      <c r="F39" s="5">
        <f>MAX(Hit!F39,Stand!F39)</f>
        <v/>
      </c>
      <c r="G39" s="5">
        <f>MAX(Hit!G39,Stand!G39)</f>
        <v/>
      </c>
      <c r="H39" s="5">
        <f>MAX(Hit!H39,Stand!H39)</f>
        <v/>
      </c>
      <c r="I39" s="5">
        <f>MAX(Hit!I39,Stand!I39)</f>
        <v/>
      </c>
      <c r="J39" s="5">
        <f>MAX(Hit!J39,Stand!J39)</f>
        <v/>
      </c>
      <c r="K39" s="5">
        <f>MAX(Hit!K39,Stand!K39)</f>
        <v/>
      </c>
      <c r="M39" s="5" t="n">
        <v>19</v>
      </c>
      <c r="N39" s="2">
        <f>IF(B39=Stand!B39,"S","H")</f>
        <v/>
      </c>
      <c r="O39" s="2">
        <f>IF(C39=Stand!C39,"S","H")</f>
        <v/>
      </c>
      <c r="P39" s="2">
        <f>IF(D39=Stand!D39,"S","H")</f>
        <v/>
      </c>
      <c r="Q39" s="2">
        <f>IF(E39=Stand!E39,"S","H")</f>
        <v/>
      </c>
      <c r="R39" s="2">
        <f>IF(F39=Stand!F39,"S","H")</f>
        <v/>
      </c>
      <c r="S39" s="2">
        <f>IF(G39=Stand!G39,"S","H")</f>
        <v/>
      </c>
      <c r="T39" s="2">
        <f>IF(H39=Stand!H39,"S","H")</f>
        <v/>
      </c>
      <c r="U39" s="2">
        <f>IF(I39=Stand!I39,"S","H")</f>
        <v/>
      </c>
      <c r="V39" s="2">
        <f>IF(J39=Stand!J39,"S","H")</f>
        <v/>
      </c>
      <c r="W39" s="2">
        <f>IF(K39=Stand!K39,"S","H")</f>
        <v/>
      </c>
    </row>
    <row r="40" ht="12.5" customHeight="1" s="12">
      <c r="A40" s="5" t="n">
        <v>20</v>
      </c>
      <c r="B40" s="5">
        <f>MAX(Hit!B40,Stand!B40)</f>
        <v/>
      </c>
      <c r="C40" s="5">
        <f>MAX(Hit!C40,Stand!C40)</f>
        <v/>
      </c>
      <c r="D40" s="5">
        <f>MAX(Hit!D40,Stand!D40)</f>
        <v/>
      </c>
      <c r="E40" s="5">
        <f>MAX(Hit!E40,Stand!E40)</f>
        <v/>
      </c>
      <c r="F40" s="5">
        <f>MAX(Hit!F40,Stand!F40)</f>
        <v/>
      </c>
      <c r="G40" s="5">
        <f>MAX(Hit!G40,Stand!G40)</f>
        <v/>
      </c>
      <c r="H40" s="5">
        <f>MAX(Hit!H40,Stand!H40)</f>
        <v/>
      </c>
      <c r="I40" s="5">
        <f>MAX(Hit!I40,Stand!I40)</f>
        <v/>
      </c>
      <c r="J40" s="5">
        <f>MAX(Hit!J40,Stand!J40)</f>
        <v/>
      </c>
      <c r="K40" s="5">
        <f>MAX(Hit!K40,Stand!K40)</f>
        <v/>
      </c>
      <c r="M40" s="5" t="n">
        <v>20</v>
      </c>
      <c r="N40" s="2">
        <f>IF(B40=Stand!B40,"S","H")</f>
        <v/>
      </c>
      <c r="O40" s="2">
        <f>IF(C40=Stand!C40,"S","H")</f>
        <v/>
      </c>
      <c r="P40" s="2">
        <f>IF(D40=Stand!D40,"S","H")</f>
        <v/>
      </c>
      <c r="Q40" s="2">
        <f>IF(E40=Stand!E40,"S","H")</f>
        <v/>
      </c>
      <c r="R40" s="2">
        <f>IF(F40=Stand!F40,"S","H")</f>
        <v/>
      </c>
      <c r="S40" s="2">
        <f>IF(G40=Stand!G40,"S","H")</f>
        <v/>
      </c>
      <c r="T40" s="2">
        <f>IF(H40=Stand!H40,"S","H")</f>
        <v/>
      </c>
      <c r="U40" s="2">
        <f>IF(I40=Stand!I40,"S","H")</f>
        <v/>
      </c>
      <c r="V40" s="2">
        <f>IF(J40=Stand!J40,"S","H")</f>
        <v/>
      </c>
      <c r="W40" s="2">
        <f>IF(K40=Stand!K40,"S","H")</f>
        <v/>
      </c>
    </row>
    <row r="41" ht="12.5" customHeight="1" s="12">
      <c r="A41" s="5" t="n">
        <v>21</v>
      </c>
      <c r="B41" s="5">
        <f>MAX(Hit!B41,Stand!B41)</f>
        <v/>
      </c>
      <c r="C41" s="5">
        <f>MAX(Hit!C41,Stand!C41)</f>
        <v/>
      </c>
      <c r="D41" s="5">
        <f>MAX(Hit!D41,Stand!D41)</f>
        <v/>
      </c>
      <c r="E41" s="5">
        <f>MAX(Hit!E41,Stand!E41)</f>
        <v/>
      </c>
      <c r="F41" s="5">
        <f>MAX(Hit!F41,Stand!F41)</f>
        <v/>
      </c>
      <c r="G41" s="5">
        <f>MAX(Hit!G41,Stand!G41)</f>
        <v/>
      </c>
      <c r="H41" s="5">
        <f>MAX(Hit!H41,Stand!H41)</f>
        <v/>
      </c>
      <c r="I41" s="5">
        <f>MAX(Hit!I41,Stand!I41)</f>
        <v/>
      </c>
      <c r="J41" s="5">
        <f>MAX(Hit!J41,Stand!J41)</f>
        <v/>
      </c>
      <c r="K41" s="5">
        <f>MAX(Hit!K41,Stand!K41)</f>
        <v/>
      </c>
      <c r="M41" s="5" t="n">
        <v>21</v>
      </c>
      <c r="N41" s="2">
        <f>IF(B41=Stand!B41,"S","H")</f>
        <v/>
      </c>
      <c r="O41" s="2">
        <f>IF(C41=Stand!C41,"S","H")</f>
        <v/>
      </c>
      <c r="P41" s="2">
        <f>IF(D41=Stand!D41,"S","H")</f>
        <v/>
      </c>
      <c r="Q41" s="2">
        <f>IF(E41=Stand!E41,"S","H")</f>
        <v/>
      </c>
      <c r="R41" s="2">
        <f>IF(F41=Stand!F41,"S","H")</f>
        <v/>
      </c>
      <c r="S41" s="2">
        <f>IF(G41=Stand!G41,"S","H")</f>
        <v/>
      </c>
      <c r="T41" s="2">
        <f>IF(H41=Stand!H41,"S","H")</f>
        <v/>
      </c>
      <c r="U41" s="2">
        <f>IF(I41=Stand!I41,"S","H")</f>
        <v/>
      </c>
      <c r="V41" s="2">
        <f>IF(J41=Stand!J41,"S","H")</f>
        <v/>
      </c>
      <c r="W41" s="2">
        <f>IF(K41=Stand!K41,"S","H")</f>
        <v/>
      </c>
    </row>
    <row r="42" ht="12.5" customHeight="1" s="12">
      <c r="A42" s="5" t="n">
        <v>22</v>
      </c>
      <c r="B42" s="5">
        <f>MAX(Hit!B42,Stand!B42)</f>
        <v/>
      </c>
      <c r="C42" s="5">
        <f>MAX(Hit!C42,Stand!C42)</f>
        <v/>
      </c>
      <c r="D42" s="5">
        <f>MAX(Hit!D42,Stand!D42)</f>
        <v/>
      </c>
      <c r="E42" s="5">
        <f>MAX(Hit!E42,Stand!E42)</f>
        <v/>
      </c>
      <c r="F42" s="5">
        <f>MAX(Hit!F42,Stand!F42)</f>
        <v/>
      </c>
      <c r="G42" s="5">
        <f>MAX(Hit!G42,Stand!G42)</f>
        <v/>
      </c>
      <c r="H42" s="5">
        <f>MAX(Hit!H42,Stand!H42)</f>
        <v/>
      </c>
      <c r="I42" s="5">
        <f>MAX(Hit!I42,Stand!I42)</f>
        <v/>
      </c>
      <c r="J42" s="5">
        <f>MAX(Hit!J42,Stand!J42)</f>
        <v/>
      </c>
      <c r="K42" s="5">
        <f>MAX(Hit!K42,Stand!K42)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MAX(Hit!B43,Stand!B43)</f>
        <v/>
      </c>
      <c r="C43" s="5">
        <f>MAX(Hit!C43,Stand!C43)</f>
        <v/>
      </c>
      <c r="D43" s="5">
        <f>MAX(Hit!D43,Stand!D43)</f>
        <v/>
      </c>
      <c r="E43" s="5">
        <f>MAX(Hit!E43,Stand!E43)</f>
        <v/>
      </c>
      <c r="F43" s="5">
        <f>MAX(Hit!F43,Stand!F43)</f>
        <v/>
      </c>
      <c r="G43" s="5">
        <f>MAX(Hit!G43,Stand!G43)</f>
        <v/>
      </c>
      <c r="H43" s="5">
        <f>MAX(Hit!H43,Stand!H43)</f>
        <v/>
      </c>
      <c r="I43" s="5">
        <f>MAX(Hit!I43,Stand!I43)</f>
        <v/>
      </c>
      <c r="J43" s="5">
        <f>MAX(Hit!J43,Stand!J43)</f>
        <v/>
      </c>
      <c r="K43" s="5">
        <f>MAX(Hit!K43,Stand!K43)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MAX(Hit!B44,Stand!B44)</f>
        <v/>
      </c>
      <c r="C44" s="5">
        <f>MAX(Hit!C44,Stand!C44)</f>
        <v/>
      </c>
      <c r="D44" s="5">
        <f>MAX(Hit!D44,Stand!D44)</f>
        <v/>
      </c>
      <c r="E44" s="5">
        <f>MAX(Hit!E44,Stand!E44)</f>
        <v/>
      </c>
      <c r="F44" s="5">
        <f>MAX(Hit!F44,Stand!F44)</f>
        <v/>
      </c>
      <c r="G44" s="5">
        <f>MAX(Hit!G44,Stand!G44)</f>
        <v/>
      </c>
      <c r="H44" s="5">
        <f>MAX(Hit!H44,Stand!H44)</f>
        <v/>
      </c>
      <c r="I44" s="5">
        <f>MAX(Hit!I44,Stand!I44)</f>
        <v/>
      </c>
      <c r="J44" s="5">
        <f>MAX(Hit!J44,Stand!J44)</f>
        <v/>
      </c>
      <c r="K44" s="5">
        <f>MAX(Hit!K44,Stand!K44)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MAX(Hit!B45,Stand!B45)</f>
        <v/>
      </c>
      <c r="C45" s="5">
        <f>MAX(Hit!C45,Stand!C45)</f>
        <v/>
      </c>
      <c r="D45" s="5">
        <f>MAX(Hit!D45,Stand!D45)</f>
        <v/>
      </c>
      <c r="E45" s="5">
        <f>MAX(Hit!E45,Stand!E45)</f>
        <v/>
      </c>
      <c r="F45" s="5">
        <f>MAX(Hit!F45,Stand!F45)</f>
        <v/>
      </c>
      <c r="G45" s="5">
        <f>MAX(Hit!G45,Stand!G45)</f>
        <v/>
      </c>
      <c r="H45" s="5">
        <f>MAX(Hit!H45,Stand!H45)</f>
        <v/>
      </c>
      <c r="I45" s="5">
        <f>MAX(Hit!I45,Stand!I45)</f>
        <v/>
      </c>
      <c r="J45" s="5">
        <f>MAX(Hit!J45,Stand!J45)</f>
        <v/>
      </c>
      <c r="K45" s="5">
        <f>MAX(Hit!K45,Stand!K45)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MAX(Hit!B46,Stand!B46)</f>
        <v/>
      </c>
      <c r="C46" s="5">
        <f>MAX(Hit!C46,Stand!C46)</f>
        <v/>
      </c>
      <c r="D46" s="5">
        <f>MAX(Hit!D46,Stand!D46)</f>
        <v/>
      </c>
      <c r="E46" s="5">
        <f>MAX(Hit!E46,Stand!E46)</f>
        <v/>
      </c>
      <c r="F46" s="5">
        <f>MAX(Hit!F46,Stand!F46)</f>
        <v/>
      </c>
      <c r="G46" s="5">
        <f>MAX(Hit!G46,Stand!G46)</f>
        <v/>
      </c>
      <c r="H46" s="5">
        <f>MAX(Hit!H46,Stand!H46)</f>
        <v/>
      </c>
      <c r="I46" s="5">
        <f>MAX(Hit!I46,Stand!I46)</f>
        <v/>
      </c>
      <c r="J46" s="5">
        <f>MAX(Hit!J46,Stand!J46)</f>
        <v/>
      </c>
      <c r="K46" s="5">
        <f>MAX(Hit!K46,Stand!K46)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MAX(Hit!B47,Stand!B47)</f>
        <v/>
      </c>
      <c r="C47" s="5">
        <f>MAX(Hit!C47,Stand!C47)</f>
        <v/>
      </c>
      <c r="D47" s="5">
        <f>MAX(Hit!D47,Stand!D47)</f>
        <v/>
      </c>
      <c r="E47" s="5">
        <f>MAX(Hit!E47,Stand!E47)</f>
        <v/>
      </c>
      <c r="F47" s="5">
        <f>MAX(Hit!F47,Stand!F47)</f>
        <v/>
      </c>
      <c r="G47" s="5">
        <f>MAX(Hit!G47,Stand!G47)</f>
        <v/>
      </c>
      <c r="H47" s="5">
        <f>MAX(Hit!H47,Stand!H47)</f>
        <v/>
      </c>
      <c r="I47" s="5">
        <f>MAX(Hit!I47,Stand!I47)</f>
        <v/>
      </c>
      <c r="J47" s="5">
        <f>MAX(Hit!J47,Stand!J47)</f>
        <v/>
      </c>
      <c r="K47" s="5">
        <f>MAX(Hit!K47,Stand!K47)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MAX(Hit!B48,Stand!B48)</f>
        <v/>
      </c>
      <c r="C48" s="5">
        <f>MAX(Hit!C48,Stand!C48)</f>
        <v/>
      </c>
      <c r="D48" s="5">
        <f>MAX(Hit!D48,Stand!D48)</f>
        <v/>
      </c>
      <c r="E48" s="5">
        <f>MAX(Hit!E48,Stand!E48)</f>
        <v/>
      </c>
      <c r="F48" s="5">
        <f>MAX(Hit!F48,Stand!F48)</f>
        <v/>
      </c>
      <c r="G48" s="5">
        <f>MAX(Hit!G48,Stand!G48)</f>
        <v/>
      </c>
      <c r="H48" s="5">
        <f>MAX(Hit!H48,Stand!H48)</f>
        <v/>
      </c>
      <c r="I48" s="5">
        <f>MAX(Hit!I48,Stand!I48)</f>
        <v/>
      </c>
      <c r="J48" s="5">
        <f>MAX(Hit!J48,Stand!J48)</f>
        <v/>
      </c>
      <c r="K48" s="5">
        <f>MAX(Hit!K48,Stand!K48)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MAX(Hit!B49,Stand!B49)</f>
        <v/>
      </c>
      <c r="C49" s="5">
        <f>MAX(Hit!C49,Stand!C49)</f>
        <v/>
      </c>
      <c r="D49" s="5">
        <f>MAX(Hit!D49,Stand!D49)</f>
        <v/>
      </c>
      <c r="E49" s="5">
        <f>MAX(Hit!E49,Stand!E49)</f>
        <v/>
      </c>
      <c r="F49" s="5">
        <f>MAX(Hit!F49,Stand!F49)</f>
        <v/>
      </c>
      <c r="G49" s="5">
        <f>MAX(Hit!G49,Stand!G49)</f>
        <v/>
      </c>
      <c r="H49" s="5">
        <f>MAX(Hit!H49,Stand!H49)</f>
        <v/>
      </c>
      <c r="I49" s="5">
        <f>MAX(Hit!I49,Stand!I49)</f>
        <v/>
      </c>
      <c r="J49" s="5">
        <f>MAX(Hit!J49,Stand!J49)</f>
        <v/>
      </c>
      <c r="K49" s="5">
        <f>MAX(Hit!K49,Stand!K49)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MAX(Hit!B50,Stand!B50)</f>
        <v/>
      </c>
      <c r="C50" s="5">
        <f>MAX(Hit!C50,Stand!C50)</f>
        <v/>
      </c>
      <c r="D50" s="5">
        <f>MAX(Hit!D50,Stand!D50)</f>
        <v/>
      </c>
      <c r="E50" s="5">
        <f>MAX(Hit!E50,Stand!E50)</f>
        <v/>
      </c>
      <c r="F50" s="5">
        <f>MAX(Hit!F50,Stand!F50)</f>
        <v/>
      </c>
      <c r="G50" s="5">
        <f>MAX(Hit!G50,Stand!G50)</f>
        <v/>
      </c>
      <c r="H50" s="5">
        <f>MAX(Hit!H50,Stand!H50)</f>
        <v/>
      </c>
      <c r="I50" s="5">
        <f>MAX(Hit!I50,Stand!I50)</f>
        <v/>
      </c>
      <c r="J50" s="5">
        <f>MAX(Hit!J50,Stand!J50)</f>
        <v/>
      </c>
      <c r="K50" s="5">
        <f>MAX(Hit!K50,Stand!K50)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MAX(Hit!B51,Stand!B51)</f>
        <v/>
      </c>
      <c r="C51" s="5">
        <f>MAX(Hit!C51,Stand!C51)</f>
        <v/>
      </c>
      <c r="D51" s="5">
        <f>MAX(Hit!D51,Stand!D51)</f>
        <v/>
      </c>
      <c r="E51" s="5">
        <f>MAX(Hit!E51,Stand!E51)</f>
        <v/>
      </c>
      <c r="F51" s="5">
        <f>MAX(Hit!F51,Stand!F51)</f>
        <v/>
      </c>
      <c r="G51" s="5">
        <f>MAX(Hit!G51,Stand!G51)</f>
        <v/>
      </c>
      <c r="H51" s="5">
        <f>MAX(Hit!H51,Stand!H51)</f>
        <v/>
      </c>
      <c r="I51" s="5">
        <f>MAX(Hit!I51,Stand!I51)</f>
        <v/>
      </c>
      <c r="J51" s="5">
        <f>MAX(Hit!J51,Stand!J51)</f>
        <v/>
      </c>
      <c r="K51" s="5">
        <f>MAX(Hit!K51,Stand!K51)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2*(SUM(Stand!B4:B11)+4*Stand!B12+Stand!B35)/13</f>
        <v/>
      </c>
      <c r="C2" s="5">
        <f>2*(SUM(Stand!C4:C11)+4*Stand!C12+Stand!C35)/13</f>
        <v/>
      </c>
      <c r="D2" s="5">
        <f>2*(SUM(Stand!D4:D11)+4*Stand!D12+Stand!D35)/13</f>
        <v/>
      </c>
      <c r="E2" s="5">
        <f>2*(SUM(Stand!E4:E11)+4*Stand!E12+Stand!E35)/13</f>
        <v/>
      </c>
      <c r="F2" s="5">
        <f>2*(SUM(Stand!F4:F11)+4*Stand!F12+Stand!F35)/13</f>
        <v/>
      </c>
      <c r="G2" s="5">
        <f>2*(SUM(Stand!G4:G11)+4*Stand!G12+Stand!G35)/13</f>
        <v/>
      </c>
      <c r="H2" s="5">
        <f>2*(SUM(Stand!H4:H11)+4*Stand!H12+Stand!H35)/13</f>
        <v/>
      </c>
      <c r="I2" s="5">
        <f>2*(SUM(Stand!I4:I11)+4*Stand!I12+Stand!I35)/13</f>
        <v/>
      </c>
      <c r="J2" s="5">
        <f>2*(SUM(Stand!J4:J11)+4*Stand!J12+Stand!J35)/13</f>
        <v/>
      </c>
      <c r="K2" s="5">
        <f>2*(SUM(Stand!K4:K11)+4*Stand!K12+Stand!K35)/13</f>
        <v/>
      </c>
    </row>
    <row r="3" ht="15.75" customHeight="1" s="12">
      <c r="A3" s="5" t="n">
        <v>5</v>
      </c>
      <c r="B3" s="5">
        <f>2*(SUM(Stand!B5:B12)+4*Stand!B13+Stand!B36)/13</f>
        <v/>
      </c>
      <c r="C3" s="5">
        <f>2*(SUM(Stand!C5:C12)+4*Stand!C13+Stand!C36)/13</f>
        <v/>
      </c>
      <c r="D3" s="5">
        <f>2*(SUM(Stand!D5:D12)+4*Stand!D13+Stand!D36)/13</f>
        <v/>
      </c>
      <c r="E3" s="5">
        <f>2*(SUM(Stand!E5:E12)+4*Stand!E13+Stand!E36)/13</f>
        <v/>
      </c>
      <c r="F3" s="5">
        <f>2*(SUM(Stand!F5:F12)+4*Stand!F13+Stand!F36)/13</f>
        <v/>
      </c>
      <c r="G3" s="5">
        <f>2*(SUM(Stand!G5:G12)+4*Stand!G13+Stand!G36)/13</f>
        <v/>
      </c>
      <c r="H3" s="5">
        <f>2*(SUM(Stand!H5:H12)+4*Stand!H13+Stand!H36)/13</f>
        <v/>
      </c>
      <c r="I3" s="5">
        <f>2*(SUM(Stand!I5:I12)+4*Stand!I13+Stand!I36)/13</f>
        <v/>
      </c>
      <c r="J3" s="5">
        <f>2*(SUM(Stand!J5:J12)+4*Stand!J13+Stand!J36)/13</f>
        <v/>
      </c>
      <c r="K3" s="5">
        <f>2*(SUM(Stand!K5:K12)+4*Stand!K13+Stand!K36)/13</f>
        <v/>
      </c>
    </row>
    <row r="4" ht="15.75" customHeight="1" s="12">
      <c r="A4" s="5" t="n">
        <v>6</v>
      </c>
      <c r="B4" s="5">
        <f>2*(SUM(Stand!B6:B13)+4*Stand!B14+Stand!B37)/13</f>
        <v/>
      </c>
      <c r="C4" s="5">
        <f>2*(SUM(Stand!C6:C13)+4*Stand!C14+Stand!C37)/13</f>
        <v/>
      </c>
      <c r="D4" s="5">
        <f>2*(SUM(Stand!D6:D13)+4*Stand!D14+Stand!D37)/13</f>
        <v/>
      </c>
      <c r="E4" s="5">
        <f>2*(SUM(Stand!E6:E13)+4*Stand!E14+Stand!E37)/13</f>
        <v/>
      </c>
      <c r="F4" s="5">
        <f>2*(SUM(Stand!F6:F13)+4*Stand!F14+Stand!F37)/13</f>
        <v/>
      </c>
      <c r="G4" s="5">
        <f>2*(SUM(Stand!G6:G13)+4*Stand!G14+Stand!G37)/13</f>
        <v/>
      </c>
      <c r="H4" s="5">
        <f>2*(SUM(Stand!H6:H13)+4*Stand!H14+Stand!H37)/13</f>
        <v/>
      </c>
      <c r="I4" s="5">
        <f>2*(SUM(Stand!I6:I13)+4*Stand!I14+Stand!I37)/13</f>
        <v/>
      </c>
      <c r="J4" s="5">
        <f>2*(SUM(Stand!J6:J13)+4*Stand!J14+Stand!J37)/13</f>
        <v/>
      </c>
      <c r="K4" s="5">
        <f>2*(SUM(Stand!K6:K13)+4*Stand!K14+Stand!K37)/13</f>
        <v/>
      </c>
    </row>
    <row r="5" ht="15.75" customHeight="1" s="12">
      <c r="A5" s="5" t="n">
        <v>7</v>
      </c>
      <c r="B5" s="5">
        <f>2*(SUM(Stand!B7:B14)+4*Stand!B15+Stand!B38)/13</f>
        <v/>
      </c>
      <c r="C5" s="5">
        <f>2*(SUM(Stand!C7:C14)+4*Stand!C15+Stand!C38)/13</f>
        <v/>
      </c>
      <c r="D5" s="5">
        <f>2*(SUM(Stand!D7:D14)+4*Stand!D15+Stand!D38)/13</f>
        <v/>
      </c>
      <c r="E5" s="5">
        <f>2*(SUM(Stand!E7:E14)+4*Stand!E15+Stand!E38)/13</f>
        <v/>
      </c>
      <c r="F5" s="5">
        <f>2*(SUM(Stand!F7:F14)+4*Stand!F15+Stand!F38)/13</f>
        <v/>
      </c>
      <c r="G5" s="5">
        <f>2*(SUM(Stand!G7:G14)+4*Stand!G15+Stand!G38)/13</f>
        <v/>
      </c>
      <c r="H5" s="5">
        <f>2*(SUM(Stand!H7:H14)+4*Stand!H15+Stand!H38)/13</f>
        <v/>
      </c>
      <c r="I5" s="5">
        <f>2*(SUM(Stand!I7:I14)+4*Stand!I15+Stand!I38)/13</f>
        <v/>
      </c>
      <c r="J5" s="5">
        <f>2*(SUM(Stand!J7:J14)+4*Stand!J15+Stand!J38)/13</f>
        <v/>
      </c>
      <c r="K5" s="5">
        <f>2*(SUM(Stand!K7:K14)+4*Stand!K15+Stand!K38)/13</f>
        <v/>
      </c>
    </row>
    <row r="6" ht="15.75" customHeight="1" s="12">
      <c r="A6" s="5" t="n">
        <v>8</v>
      </c>
      <c r="B6" s="5">
        <f>2*(SUM(Stand!B8:B15)+4*Stand!B16+Stand!B39)/13</f>
        <v/>
      </c>
      <c r="C6" s="5">
        <f>2*(SUM(Stand!C8:C15)+4*Stand!C16+Stand!C39)/13</f>
        <v/>
      </c>
      <c r="D6" s="5">
        <f>2*(SUM(Stand!D8:D15)+4*Stand!D16+Stand!D39)/13</f>
        <v/>
      </c>
      <c r="E6" s="5">
        <f>2*(SUM(Stand!E8:E15)+4*Stand!E16+Stand!E39)/13</f>
        <v/>
      </c>
      <c r="F6" s="5">
        <f>2*(SUM(Stand!F8:F15)+4*Stand!F16+Stand!F39)/13</f>
        <v/>
      </c>
      <c r="G6" s="5">
        <f>2*(SUM(Stand!G8:G15)+4*Stand!G16+Stand!G39)/13</f>
        <v/>
      </c>
      <c r="H6" s="5">
        <f>2*(SUM(Stand!H8:H15)+4*Stand!H16+Stand!H39)/13</f>
        <v/>
      </c>
      <c r="I6" s="5">
        <f>2*(SUM(Stand!I8:I15)+4*Stand!I16+Stand!I39)/13</f>
        <v/>
      </c>
      <c r="J6" s="5">
        <f>2*(SUM(Stand!J8:J15)+4*Stand!J16+Stand!J39)/13</f>
        <v/>
      </c>
      <c r="K6" s="5">
        <f>2*(SUM(Stand!K8:K15)+4*Stand!K16+Stand!K39)/13</f>
        <v/>
      </c>
    </row>
    <row r="7" ht="15.75" customHeight="1" s="12">
      <c r="A7" s="5" t="n">
        <v>9</v>
      </c>
      <c r="B7" s="5">
        <f>2*(SUM(Stand!B9:B16)+4*Stand!B17+Stand!B40)/13</f>
        <v/>
      </c>
      <c r="C7" s="5">
        <f>2*(SUM(Stand!C9:C16)+4*Stand!C17+Stand!C40)/13</f>
        <v/>
      </c>
      <c r="D7" s="5">
        <f>2*(SUM(Stand!D9:D16)+4*Stand!D17+Stand!D40)/13</f>
        <v/>
      </c>
      <c r="E7" s="5">
        <f>2*(SUM(Stand!E9:E16)+4*Stand!E17+Stand!E40)/13</f>
        <v/>
      </c>
      <c r="F7" s="5">
        <f>2*(SUM(Stand!F9:F16)+4*Stand!F17+Stand!F40)/13</f>
        <v/>
      </c>
      <c r="G7" s="5">
        <f>2*(SUM(Stand!G9:G16)+4*Stand!G17+Stand!G40)/13</f>
        <v/>
      </c>
      <c r="H7" s="5">
        <f>2*(SUM(Stand!H9:H16)+4*Stand!H17+Stand!H40)/13</f>
        <v/>
      </c>
      <c r="I7" s="5">
        <f>2*(SUM(Stand!I9:I16)+4*Stand!I17+Stand!I40)/13</f>
        <v/>
      </c>
      <c r="J7" s="5">
        <f>2*(SUM(Stand!J9:J16)+4*Stand!J17+Stand!J40)/13</f>
        <v/>
      </c>
      <c r="K7" s="5">
        <f>2*(SUM(Stand!K9:K16)+4*Stand!K17+Stand!K40)/13</f>
        <v/>
      </c>
    </row>
    <row r="8" ht="15.75" customHeight="1" s="12">
      <c r="A8" s="5" t="n">
        <v>10</v>
      </c>
      <c r="B8" s="5">
        <f>2*(SUM(Stand!B10:B17)+4*Stand!B18+Stand!B41)/13</f>
        <v/>
      </c>
      <c r="C8" s="5">
        <f>2*(SUM(Stand!C10:C17)+4*Stand!C18+Stand!C41)/13</f>
        <v/>
      </c>
      <c r="D8" s="5">
        <f>2*(SUM(Stand!D10:D17)+4*Stand!D18+Stand!D41)/13</f>
        <v/>
      </c>
      <c r="E8" s="5">
        <f>2*(SUM(Stand!E10:E17)+4*Stand!E18+Stand!E41)/13</f>
        <v/>
      </c>
      <c r="F8" s="5">
        <f>2*(SUM(Stand!F10:F17)+4*Stand!F18+Stand!F41)/13</f>
        <v/>
      </c>
      <c r="G8" s="5">
        <f>2*(SUM(Stand!G10:G17)+4*Stand!G18+Stand!G41)/13</f>
        <v/>
      </c>
      <c r="H8" s="5">
        <f>2*(SUM(Stand!H10:H17)+4*Stand!H18+Stand!H41)/13</f>
        <v/>
      </c>
      <c r="I8" s="5">
        <f>2*(SUM(Stand!I10:I17)+4*Stand!I18+Stand!I41)/13</f>
        <v/>
      </c>
      <c r="J8" s="5">
        <f>2*(SUM(Stand!J10:J17)+4*Stand!J18+Stand!J41)/13</f>
        <v/>
      </c>
      <c r="K8" s="5">
        <f>2*(SUM(Stand!K10:K17)+4*Stand!K18+Stand!K41)/13</f>
        <v/>
      </c>
    </row>
    <row r="9" ht="15.75" customHeight="1" s="12">
      <c r="A9" s="5" t="n">
        <v>11</v>
      </c>
      <c r="B9" s="5">
        <f>2*(SUM(Stand!B11:B18)+4*Stand!B19+Stand!B42)/13</f>
        <v/>
      </c>
      <c r="C9" s="5">
        <f>2*(SUM(Stand!C11:C18)+4*Stand!C19+Stand!C42)/13</f>
        <v/>
      </c>
      <c r="D9" s="5">
        <f>2*(SUM(Stand!D11:D18)+4*Stand!D19+Stand!D42)/13</f>
        <v/>
      </c>
      <c r="E9" s="5">
        <f>2*(SUM(Stand!E11:E18)+4*Stand!E19+Stand!E42)/13</f>
        <v/>
      </c>
      <c r="F9" s="5">
        <f>2*(SUM(Stand!F11:F18)+4*Stand!F19+Stand!F42)/13</f>
        <v/>
      </c>
      <c r="G9" s="5">
        <f>2*(SUM(Stand!G11:G18)+4*Stand!G19+Stand!G42)/13</f>
        <v/>
      </c>
      <c r="H9" s="5">
        <f>2*(SUM(Stand!H11:H18)+4*Stand!H19+Stand!H42)/13</f>
        <v/>
      </c>
      <c r="I9" s="5">
        <f>2*(SUM(Stand!I11:I18)+4*Stand!I19+Stand!I42)/13</f>
        <v/>
      </c>
      <c r="J9" s="5">
        <f>2*(SUM(Stand!J11:J18)+4*Stand!J19+Stand!J42)/13</f>
        <v/>
      </c>
      <c r="K9" s="5">
        <f>2*(SUM(Stand!K11:K18)+4*Stand!K19+Stand!K42)/13</f>
        <v/>
      </c>
    </row>
    <row r="10" ht="15.75" customHeight="1" s="12">
      <c r="A10" s="5" t="n">
        <v>12</v>
      </c>
      <c r="B10" s="5">
        <f>2*(SUM(Stand!B11:B19)+4*Stand!B20)/13</f>
        <v/>
      </c>
      <c r="C10" s="5">
        <f>2*(SUM(Stand!C11:C19)+4*Stand!C20)/13</f>
        <v/>
      </c>
      <c r="D10" s="5">
        <f>2*(SUM(Stand!D11:D19)+4*Stand!D20)/13</f>
        <v/>
      </c>
      <c r="E10" s="5">
        <f>2*(SUM(Stand!E11:E19)+4*Stand!E20)/13</f>
        <v/>
      </c>
      <c r="F10" s="5">
        <f>2*(SUM(Stand!F11:F19)+4*Stand!F20)/13</f>
        <v/>
      </c>
      <c r="G10" s="5">
        <f>2*(SUM(Stand!G11:G19)+4*Stand!G20)/13</f>
        <v/>
      </c>
      <c r="H10" s="5">
        <f>2*(SUM(Stand!H11:H19)+4*Stand!H20)/13</f>
        <v/>
      </c>
      <c r="I10" s="5">
        <f>2*(SUM(Stand!I11:I19)+4*Stand!I20)/13</f>
        <v/>
      </c>
      <c r="J10" s="5">
        <f>2*(SUM(Stand!J11:J19)+4*Stand!J20)/13</f>
        <v/>
      </c>
      <c r="K10" s="5">
        <f>2*(SUM(Stand!K11:K19)+4*Stand!K20)/13</f>
        <v/>
      </c>
    </row>
    <row r="11" ht="15.75" customHeight="1" s="12">
      <c r="A11" s="5" t="n">
        <v>13</v>
      </c>
      <c r="B11" s="5">
        <f>2*(SUM(Stand!B12:B20)+4*Stand!B21)/13</f>
        <v/>
      </c>
      <c r="C11" s="5">
        <f>2*(SUM(Stand!C12:C20)+4*Stand!C21)/13</f>
        <v/>
      </c>
      <c r="D11" s="5">
        <f>2*(SUM(Stand!D12:D20)+4*Stand!D21)/13</f>
        <v/>
      </c>
      <c r="E11" s="5">
        <f>2*(SUM(Stand!E12:E20)+4*Stand!E21)/13</f>
        <v/>
      </c>
      <c r="F11" s="5">
        <f>2*(SUM(Stand!F12:F20)+4*Stand!F21)/13</f>
        <v/>
      </c>
      <c r="G11" s="5">
        <f>2*(SUM(Stand!G12:G20)+4*Stand!G21)/13</f>
        <v/>
      </c>
      <c r="H11" s="5">
        <f>2*(SUM(Stand!H12:H20)+4*Stand!H21)/13</f>
        <v/>
      </c>
      <c r="I11" s="5">
        <f>2*(SUM(Stand!I12:I20)+4*Stand!I21)/13</f>
        <v/>
      </c>
      <c r="J11" s="5">
        <f>2*(SUM(Stand!J12:J20)+4*Stand!J21)/13</f>
        <v/>
      </c>
      <c r="K11" s="5">
        <f>2*(SUM(Stand!K12:K20)+4*Stand!K21)/13</f>
        <v/>
      </c>
    </row>
    <row r="12" ht="15.75" customHeight="1" s="12">
      <c r="A12" s="5" t="n">
        <v>14</v>
      </c>
      <c r="B12" s="5">
        <f>2*(SUM(Stand!B13:B21)+4*Stand!B22)/13</f>
        <v/>
      </c>
      <c r="C12" s="5">
        <f>2*(SUM(Stand!C13:C21)+4*Stand!C22)/13</f>
        <v/>
      </c>
      <c r="D12" s="5">
        <f>2*(SUM(Stand!D13:D21)+4*Stand!D22)/13</f>
        <v/>
      </c>
      <c r="E12" s="5">
        <f>2*(SUM(Stand!E13:E21)+4*Stand!E22)/13</f>
        <v/>
      </c>
      <c r="F12" s="5">
        <f>2*(SUM(Stand!F13:F21)+4*Stand!F22)/13</f>
        <v/>
      </c>
      <c r="G12" s="5">
        <f>2*(SUM(Stand!G13:G21)+4*Stand!G22)/13</f>
        <v/>
      </c>
      <c r="H12" s="5">
        <f>2*(SUM(Stand!H13:H21)+4*Stand!H22)/13</f>
        <v/>
      </c>
      <c r="I12" s="5">
        <f>2*(SUM(Stand!I13:I21)+4*Stand!I22)/13</f>
        <v/>
      </c>
      <c r="J12" s="5">
        <f>2*(SUM(Stand!J13:J21)+4*Stand!J22)/13</f>
        <v/>
      </c>
      <c r="K12" s="5">
        <f>2*(SUM(Stand!K13:K21)+4*Stand!K22)/13</f>
        <v/>
      </c>
    </row>
    <row r="13" ht="15.75" customHeight="1" s="12">
      <c r="A13" s="5" t="n">
        <v>15</v>
      </c>
      <c r="B13" s="5">
        <f>2*(SUM(Stand!B14:B22)+4*Stand!B23)/13</f>
        <v/>
      </c>
      <c r="C13" s="5">
        <f>2*(SUM(Stand!C14:C22)+4*Stand!C23)/13</f>
        <v/>
      </c>
      <c r="D13" s="5">
        <f>2*(SUM(Stand!D14:D22)+4*Stand!D23)/13</f>
        <v/>
      </c>
      <c r="E13" s="5">
        <f>2*(SUM(Stand!E14:E22)+4*Stand!E23)/13</f>
        <v/>
      </c>
      <c r="F13" s="5">
        <f>2*(SUM(Stand!F14:F22)+4*Stand!F23)/13</f>
        <v/>
      </c>
      <c r="G13" s="5">
        <f>2*(SUM(Stand!G14:G22)+4*Stand!G23)/13</f>
        <v/>
      </c>
      <c r="H13" s="5">
        <f>2*(SUM(Stand!H14:H22)+4*Stand!H23)/13</f>
        <v/>
      </c>
      <c r="I13" s="5">
        <f>2*(SUM(Stand!I14:I22)+4*Stand!I23)/13</f>
        <v/>
      </c>
      <c r="J13" s="5">
        <f>2*(SUM(Stand!J14:J22)+4*Stand!J23)/13</f>
        <v/>
      </c>
      <c r="K13" s="5">
        <f>2*(SUM(Stand!K14:K22)+4*Stand!K23)/13</f>
        <v/>
      </c>
    </row>
    <row r="14" ht="15.75" customHeight="1" s="12">
      <c r="A14" s="5" t="n">
        <v>16</v>
      </c>
      <c r="B14" s="5">
        <f>2*(SUM(Stand!B15:B23)+4*Stand!B24)/13</f>
        <v/>
      </c>
      <c r="C14" s="5">
        <f>2*(SUM(Stand!C15:C23)+4*Stand!C24)/13</f>
        <v/>
      </c>
      <c r="D14" s="5">
        <f>2*(SUM(Stand!D15:D23)+4*Stand!D24)/13</f>
        <v/>
      </c>
      <c r="E14" s="5">
        <f>2*(SUM(Stand!E15:E23)+4*Stand!E24)/13</f>
        <v/>
      </c>
      <c r="F14" s="5">
        <f>2*(SUM(Stand!F15:F23)+4*Stand!F24)/13</f>
        <v/>
      </c>
      <c r="G14" s="5">
        <f>2*(SUM(Stand!G15:G23)+4*Stand!G24)/13</f>
        <v/>
      </c>
      <c r="H14" s="5">
        <f>2*(SUM(Stand!H15:H23)+4*Stand!H24)/13</f>
        <v/>
      </c>
      <c r="I14" s="5">
        <f>2*(SUM(Stand!I15:I23)+4*Stand!I24)/13</f>
        <v/>
      </c>
      <c r="J14" s="5">
        <f>2*(SUM(Stand!J15:J23)+4*Stand!J24)/13</f>
        <v/>
      </c>
      <c r="K14" s="5">
        <f>2*(SUM(Stand!K15:K23)+4*Stand!K24)/13</f>
        <v/>
      </c>
    </row>
    <row r="15" ht="15.75" customHeight="1" s="12">
      <c r="A15" s="5" t="n">
        <v>17</v>
      </c>
      <c r="B15" s="5">
        <f>2*(SUM(Stand!B16:B24)+4*Stand!B25)/13</f>
        <v/>
      </c>
      <c r="C15" s="5">
        <f>2*(SUM(Stand!C16:C24)+4*Stand!C25)/13</f>
        <v/>
      </c>
      <c r="D15" s="5">
        <f>2*(SUM(Stand!D16:D24)+4*Stand!D25)/13</f>
        <v/>
      </c>
      <c r="E15" s="5">
        <f>2*(SUM(Stand!E16:E24)+4*Stand!E25)/13</f>
        <v/>
      </c>
      <c r="F15" s="5">
        <f>2*(SUM(Stand!F16:F24)+4*Stand!F25)/13</f>
        <v/>
      </c>
      <c r="G15" s="5">
        <f>2*(SUM(Stand!G16:G24)+4*Stand!G25)/13</f>
        <v/>
      </c>
      <c r="H15" s="5">
        <f>2*(SUM(Stand!H16:H24)+4*Stand!H25)/13</f>
        <v/>
      </c>
      <c r="I15" s="5">
        <f>2*(SUM(Stand!I16:I24)+4*Stand!I25)/13</f>
        <v/>
      </c>
      <c r="J15" s="5">
        <f>2*(SUM(Stand!J16:J24)+4*Stand!J25)/13</f>
        <v/>
      </c>
      <c r="K15" s="5">
        <f>2*(SUM(Stand!K16:K24)+4*Stand!K25)/13</f>
        <v/>
      </c>
    </row>
    <row r="16" ht="15.75" customHeight="1" s="12">
      <c r="A16" s="5" t="n">
        <v>18</v>
      </c>
      <c r="B16" s="5">
        <f>2*(SUM(Stand!B17:B25)+4*Stand!B26)/13</f>
        <v/>
      </c>
      <c r="C16" s="5">
        <f>2*(SUM(Stand!C17:C25)+4*Stand!C26)/13</f>
        <v/>
      </c>
      <c r="D16" s="5">
        <f>2*(SUM(Stand!D17:D25)+4*Stand!D26)/13</f>
        <v/>
      </c>
      <c r="E16" s="5">
        <f>2*(SUM(Stand!E17:E25)+4*Stand!E26)/13</f>
        <v/>
      </c>
      <c r="F16" s="5">
        <f>2*(SUM(Stand!F17:F25)+4*Stand!F26)/13</f>
        <v/>
      </c>
      <c r="G16" s="5">
        <f>2*(SUM(Stand!G17:G25)+4*Stand!G26)/13</f>
        <v/>
      </c>
      <c r="H16" s="5">
        <f>2*(SUM(Stand!H17:H25)+4*Stand!H26)/13</f>
        <v/>
      </c>
      <c r="I16" s="5">
        <f>2*(SUM(Stand!I17:I25)+4*Stand!I26)/13</f>
        <v/>
      </c>
      <c r="J16" s="5">
        <f>2*(SUM(Stand!J17:J25)+4*Stand!J26)/13</f>
        <v/>
      </c>
      <c r="K16" s="5">
        <f>2*(SUM(Stand!K17:K25)+4*Stand!K26)/13</f>
        <v/>
      </c>
    </row>
    <row r="17" ht="15.75" customHeight="1" s="12">
      <c r="A17" s="5" t="n">
        <v>19</v>
      </c>
      <c r="B17" s="5">
        <f>2*(SUM(Stand!B18:B26)+4*Stand!B27)/13</f>
        <v/>
      </c>
      <c r="C17" s="5">
        <f>2*(SUM(Stand!C18:C26)+4*Stand!C27)/13</f>
        <v/>
      </c>
      <c r="D17" s="5">
        <f>2*(SUM(Stand!D18:D26)+4*Stand!D27)/13</f>
        <v/>
      </c>
      <c r="E17" s="5">
        <f>2*(SUM(Stand!E18:E26)+4*Stand!E27)/13</f>
        <v/>
      </c>
      <c r="F17" s="5">
        <f>2*(SUM(Stand!F18:F26)+4*Stand!F27)/13</f>
        <v/>
      </c>
      <c r="G17" s="5">
        <f>2*(SUM(Stand!G18:G26)+4*Stand!G27)/13</f>
        <v/>
      </c>
      <c r="H17" s="5">
        <f>2*(SUM(Stand!H18:H26)+4*Stand!H27)/13</f>
        <v/>
      </c>
      <c r="I17" s="5">
        <f>2*(SUM(Stand!I18:I26)+4*Stand!I27)/13</f>
        <v/>
      </c>
      <c r="J17" s="5">
        <f>2*(SUM(Stand!J18:J26)+4*Stand!J27)/13</f>
        <v/>
      </c>
      <c r="K17" s="5">
        <f>2*(SUM(Stand!K18:K26)+4*Stand!K27)/13</f>
        <v/>
      </c>
    </row>
    <row r="18" ht="15.75" customHeight="1" s="12">
      <c r="A18" s="5" t="n">
        <v>20</v>
      </c>
      <c r="B18" s="5">
        <f>2*(SUM(Stand!B19:B27)+4*Stand!B28)/13</f>
        <v/>
      </c>
      <c r="C18" s="5">
        <f>2*(SUM(Stand!C19:C27)+4*Stand!C28)/13</f>
        <v/>
      </c>
      <c r="D18" s="5">
        <f>2*(SUM(Stand!D19:D27)+4*Stand!D28)/13</f>
        <v/>
      </c>
      <c r="E18" s="5">
        <f>2*(SUM(Stand!E19:E27)+4*Stand!E28)/13</f>
        <v/>
      </c>
      <c r="F18" s="5">
        <f>2*(SUM(Stand!F19:F27)+4*Stand!F28)/13</f>
        <v/>
      </c>
      <c r="G18" s="5">
        <f>2*(SUM(Stand!G19:G27)+4*Stand!G28)/13</f>
        <v/>
      </c>
      <c r="H18" s="5">
        <f>2*(SUM(Stand!H19:H27)+4*Stand!H28)/13</f>
        <v/>
      </c>
      <c r="I18" s="5">
        <f>2*(SUM(Stand!I19:I27)+4*Stand!I28)/13</f>
        <v/>
      </c>
      <c r="J18" s="5">
        <f>2*(SUM(Stand!J19:J27)+4*Stand!J28)/13</f>
        <v/>
      </c>
      <c r="K18" s="5">
        <f>2*(SUM(Stand!K19:K27)+4*Stand!K28)/13</f>
        <v/>
      </c>
    </row>
    <row r="19" ht="15.75" customHeight="1" s="12">
      <c r="A19" s="5" t="n">
        <v>21</v>
      </c>
      <c r="B19" s="5">
        <f>2*(SUM(Stand!B20:B28)+4*Stand!B29)/13</f>
        <v/>
      </c>
      <c r="C19" s="5">
        <f>2*(SUM(Stand!C20:C28)+4*Stand!C29)/13</f>
        <v/>
      </c>
      <c r="D19" s="5">
        <f>2*(SUM(Stand!D20:D28)+4*Stand!D29)/13</f>
        <v/>
      </c>
      <c r="E19" s="5">
        <f>2*(SUM(Stand!E20:E28)+4*Stand!E29)/13</f>
        <v/>
      </c>
      <c r="F19" s="5">
        <f>2*(SUM(Stand!F20:F28)+4*Stand!F29)/13</f>
        <v/>
      </c>
      <c r="G19" s="5">
        <f>2*(SUM(Stand!G20:G28)+4*Stand!G29)/13</f>
        <v/>
      </c>
      <c r="H19" s="5">
        <f>2*(SUM(Stand!H20:H28)+4*Stand!H29)/13</f>
        <v/>
      </c>
      <c r="I19" s="5">
        <f>2*(SUM(Stand!I20:I28)+4*Stand!I29)/13</f>
        <v/>
      </c>
      <c r="J19" s="5">
        <f>2*(SUM(Stand!J20:J28)+4*Stand!J29)/13</f>
        <v/>
      </c>
      <c r="K19" s="5">
        <f>2*(SUM(Stand!K20:K28)+4*Stand!K29)/13</f>
        <v/>
      </c>
    </row>
    <row r="20" ht="12.5" customHeight="1" s="12">
      <c r="A20" s="5" t="n">
        <v>22</v>
      </c>
      <c r="B20" s="5" t="n">
        <v>-2</v>
      </c>
      <c r="C20" s="5" t="n">
        <v>-2</v>
      </c>
      <c r="D20" s="5" t="n">
        <v>-2</v>
      </c>
      <c r="E20" s="5" t="n">
        <v>-2</v>
      </c>
      <c r="F20" s="5" t="n">
        <v>-2</v>
      </c>
      <c r="G20" s="5" t="n">
        <v>-2</v>
      </c>
      <c r="H20" s="5" t="n">
        <v>-2</v>
      </c>
      <c r="I20" s="5" t="n">
        <v>-2</v>
      </c>
      <c r="J20" s="5" t="n">
        <v>-2</v>
      </c>
      <c r="K20" s="5" t="n">
        <v>-2</v>
      </c>
    </row>
    <row r="21" ht="12.5" customHeight="1" s="12">
      <c r="A21" s="5" t="n">
        <v>23</v>
      </c>
      <c r="B21" s="5" t="n">
        <v>-2</v>
      </c>
      <c r="C21" s="5" t="n">
        <v>-2</v>
      </c>
      <c r="D21" s="5" t="n">
        <v>-2</v>
      </c>
      <c r="E21" s="5" t="n">
        <v>-2</v>
      </c>
      <c r="F21" s="5" t="n">
        <v>-2</v>
      </c>
      <c r="G21" s="5" t="n">
        <v>-2</v>
      </c>
      <c r="H21" s="5" t="n">
        <v>-2</v>
      </c>
      <c r="I21" s="5" t="n">
        <v>-2</v>
      </c>
      <c r="J21" s="5" t="n">
        <v>-2</v>
      </c>
      <c r="K21" s="5" t="n">
        <v>-2</v>
      </c>
    </row>
    <row r="22" ht="12.5" customHeight="1" s="12">
      <c r="A22" s="5" t="n">
        <v>24</v>
      </c>
      <c r="B22" s="5" t="n">
        <v>-2</v>
      </c>
      <c r="C22" s="5" t="n">
        <v>-2</v>
      </c>
      <c r="D22" s="5" t="n">
        <v>-2</v>
      </c>
      <c r="E22" s="5" t="n">
        <v>-2</v>
      </c>
      <c r="F22" s="5" t="n">
        <v>-2</v>
      </c>
      <c r="G22" s="5" t="n">
        <v>-2</v>
      </c>
      <c r="H22" s="5" t="n">
        <v>-2</v>
      </c>
      <c r="I22" s="5" t="n">
        <v>-2</v>
      </c>
      <c r="J22" s="5" t="n">
        <v>-2</v>
      </c>
      <c r="K22" s="5" t="n">
        <v>-2</v>
      </c>
    </row>
    <row r="23" ht="12.5" customHeight="1" s="12">
      <c r="A23" s="5" t="n">
        <v>25</v>
      </c>
      <c r="B23" s="5" t="n">
        <v>-2</v>
      </c>
      <c r="C23" s="5" t="n">
        <v>-2</v>
      </c>
      <c r="D23" s="5" t="n">
        <v>-2</v>
      </c>
      <c r="E23" s="5" t="n">
        <v>-2</v>
      </c>
      <c r="F23" s="5" t="n">
        <v>-2</v>
      </c>
      <c r="G23" s="5" t="n">
        <v>-2</v>
      </c>
      <c r="H23" s="5" t="n">
        <v>-2</v>
      </c>
      <c r="I23" s="5" t="n">
        <v>-2</v>
      </c>
      <c r="J23" s="5" t="n">
        <v>-2</v>
      </c>
      <c r="K23" s="5" t="n">
        <v>-2</v>
      </c>
    </row>
    <row r="24" ht="12.5" customHeight="1" s="12">
      <c r="A24" s="5" t="n">
        <v>26</v>
      </c>
      <c r="B24" s="5" t="n">
        <v>-2</v>
      </c>
      <c r="C24" s="5" t="n">
        <v>-2</v>
      </c>
      <c r="D24" s="5" t="n">
        <v>-2</v>
      </c>
      <c r="E24" s="5" t="n">
        <v>-2</v>
      </c>
      <c r="F24" s="5" t="n">
        <v>-2</v>
      </c>
      <c r="G24" s="5" t="n">
        <v>-2</v>
      </c>
      <c r="H24" s="5" t="n">
        <v>-2</v>
      </c>
      <c r="I24" s="5" t="n">
        <v>-2</v>
      </c>
      <c r="J24" s="5" t="n">
        <v>-2</v>
      </c>
      <c r="K24" s="5" t="n">
        <v>-2</v>
      </c>
    </row>
    <row r="25" ht="12.5" customHeight="1" s="12">
      <c r="A25" s="5" t="n">
        <v>27</v>
      </c>
      <c r="B25" s="5" t="n">
        <v>-2</v>
      </c>
      <c r="C25" s="5" t="n">
        <v>-2</v>
      </c>
      <c r="D25" s="5" t="n">
        <v>-2</v>
      </c>
      <c r="E25" s="5" t="n">
        <v>-2</v>
      </c>
      <c r="F25" s="5" t="n">
        <v>-2</v>
      </c>
      <c r="G25" s="5" t="n">
        <v>-2</v>
      </c>
      <c r="H25" s="5" t="n">
        <v>-2</v>
      </c>
      <c r="I25" s="5" t="n">
        <v>-2</v>
      </c>
      <c r="J25" s="5" t="n">
        <v>-2</v>
      </c>
      <c r="K25" s="5" t="n">
        <v>-2</v>
      </c>
    </row>
    <row r="26" ht="12.5" customHeight="1" s="12">
      <c r="A26" s="5" t="n">
        <v>28</v>
      </c>
      <c r="B26" s="5" t="n">
        <v>-2</v>
      </c>
      <c r="C26" s="5" t="n">
        <v>-2</v>
      </c>
      <c r="D26" s="5" t="n">
        <v>-2</v>
      </c>
      <c r="E26" s="5" t="n">
        <v>-2</v>
      </c>
      <c r="F26" s="5" t="n">
        <v>-2</v>
      </c>
      <c r="G26" s="5" t="n">
        <v>-2</v>
      </c>
      <c r="H26" s="5" t="n">
        <v>-2</v>
      </c>
      <c r="I26" s="5" t="n">
        <v>-2</v>
      </c>
      <c r="J26" s="5" t="n">
        <v>-2</v>
      </c>
      <c r="K26" s="5" t="n">
        <v>-2</v>
      </c>
    </row>
    <row r="27" ht="12.5" customHeight="1" s="12">
      <c r="A27" s="5" t="n">
        <v>29</v>
      </c>
      <c r="B27" s="5" t="n">
        <v>-2</v>
      </c>
      <c r="C27" s="5" t="n">
        <v>-2</v>
      </c>
      <c r="D27" s="5" t="n">
        <v>-2</v>
      </c>
      <c r="E27" s="5" t="n">
        <v>-2</v>
      </c>
      <c r="F27" s="5" t="n">
        <v>-2</v>
      </c>
      <c r="G27" s="5" t="n">
        <v>-2</v>
      </c>
      <c r="H27" s="5" t="n">
        <v>-2</v>
      </c>
      <c r="I27" s="5" t="n">
        <v>-2</v>
      </c>
      <c r="J27" s="5" t="n">
        <v>-2</v>
      </c>
      <c r="K27" s="5" t="n">
        <v>-2</v>
      </c>
    </row>
    <row r="28" ht="12.5" customHeight="1" s="12">
      <c r="A28" s="5" t="n">
        <v>30</v>
      </c>
      <c r="B28" s="5" t="n">
        <v>-2</v>
      </c>
      <c r="C28" s="5" t="n">
        <v>-2</v>
      </c>
      <c r="D28" s="5" t="n">
        <v>-2</v>
      </c>
      <c r="E28" s="5" t="n">
        <v>-2</v>
      </c>
      <c r="F28" s="5" t="n">
        <v>-2</v>
      </c>
      <c r="G28" s="5" t="n">
        <v>-2</v>
      </c>
      <c r="H28" s="5" t="n">
        <v>-2</v>
      </c>
      <c r="I28" s="5" t="n">
        <v>-2</v>
      </c>
      <c r="J28" s="5" t="n">
        <v>-2</v>
      </c>
      <c r="K28" s="5" t="n">
        <v>-2</v>
      </c>
    </row>
    <row r="29" ht="12.5" customHeight="1" s="12">
      <c r="A29" s="5" t="n">
        <v>31</v>
      </c>
      <c r="B29" s="5" t="n">
        <v>-2</v>
      </c>
      <c r="C29" s="5" t="n">
        <v>-2</v>
      </c>
      <c r="D29" s="5" t="n">
        <v>-2</v>
      </c>
      <c r="E29" s="5" t="n">
        <v>-2</v>
      </c>
      <c r="F29" s="5" t="n">
        <v>-2</v>
      </c>
      <c r="G29" s="5" t="n">
        <v>-2</v>
      </c>
      <c r="H29" s="5" t="n">
        <v>-2</v>
      </c>
      <c r="I29" s="5" t="n">
        <v>-2</v>
      </c>
      <c r="J29" s="5" t="n">
        <v>-2</v>
      </c>
      <c r="K29" s="5" t="n">
        <v>-2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2*(SUM(Stand!B33:B41)+4*Stand!B42)/13</f>
        <v/>
      </c>
      <c r="C32" s="5">
        <f>2*(SUM(Stand!C33:C41)+4*Stand!C42)/13</f>
        <v/>
      </c>
      <c r="D32" s="5">
        <f>2*(SUM(Stand!D33:D41)+4*Stand!D42)/13</f>
        <v/>
      </c>
      <c r="E32" s="5">
        <f>2*(SUM(Stand!E33:E41)+4*Stand!E42)/13</f>
        <v/>
      </c>
      <c r="F32" s="5">
        <f>2*(SUM(Stand!F33:F41)+4*Stand!F42)/13</f>
        <v/>
      </c>
      <c r="G32" s="5">
        <f>2*(SUM(Stand!G33:G41)+4*Stand!G42)/13</f>
        <v/>
      </c>
      <c r="H32" s="5">
        <f>2*(SUM(Stand!H33:H41)+4*Stand!H42)/13</f>
        <v/>
      </c>
      <c r="I32" s="5">
        <f>2*(SUM(Stand!I33:I41)+4*Stand!I42)/13</f>
        <v/>
      </c>
      <c r="J32" s="5">
        <f>2*(SUM(Stand!J33:J41)+4*Stand!J42)/13</f>
        <v/>
      </c>
      <c r="K32" s="5">
        <f>2*(SUM(Stand!K33:K41)+4*Stand!K42)/13</f>
        <v/>
      </c>
    </row>
    <row r="33" ht="12.5" customHeight="1" s="12">
      <c r="A33" s="5" t="n">
        <v>13</v>
      </c>
      <c r="B33" s="5">
        <f>2*(SUM(Stand!B34:B42)+4*Stand!B43)/13</f>
        <v/>
      </c>
      <c r="C33" s="5">
        <f>2*(SUM(Stand!C34:C42)+4*Stand!C43)/13</f>
        <v/>
      </c>
      <c r="D33" s="5">
        <f>2*(SUM(Stand!D34:D42)+4*Stand!D43)/13</f>
        <v/>
      </c>
      <c r="E33" s="5">
        <f>2*(SUM(Stand!E34:E42)+4*Stand!E43)/13</f>
        <v/>
      </c>
      <c r="F33" s="5">
        <f>2*(SUM(Stand!F34:F42)+4*Stand!F43)/13</f>
        <v/>
      </c>
      <c r="G33" s="5">
        <f>2*(SUM(Stand!G34:G42)+4*Stand!G43)/13</f>
        <v/>
      </c>
      <c r="H33" s="5">
        <f>2*(SUM(Stand!H34:H42)+4*Stand!H43)/13</f>
        <v/>
      </c>
      <c r="I33" s="5">
        <f>2*(SUM(Stand!I34:I42)+4*Stand!I43)/13</f>
        <v/>
      </c>
      <c r="J33" s="5">
        <f>2*(SUM(Stand!J34:J42)+4*Stand!J43)/13</f>
        <v/>
      </c>
      <c r="K33" s="5">
        <f>2*(SUM(Stand!K34:K42)+4*Stand!K43)/13</f>
        <v/>
      </c>
    </row>
    <row r="34" ht="12.5" customHeight="1" s="12">
      <c r="A34" s="5" t="n">
        <v>14</v>
      </c>
      <c r="B34" s="5">
        <f>2*(SUM(Stand!B35:B43)+4*Stand!B44)/13</f>
        <v/>
      </c>
      <c r="C34" s="5">
        <f>2*(SUM(Stand!C35:C43)+4*Stand!C44)/13</f>
        <v/>
      </c>
      <c r="D34" s="5">
        <f>2*(SUM(Stand!D35:D43)+4*Stand!D44)/13</f>
        <v/>
      </c>
      <c r="E34" s="5">
        <f>2*(SUM(Stand!E35:E43)+4*Stand!E44)/13</f>
        <v/>
      </c>
      <c r="F34" s="5">
        <f>2*(SUM(Stand!F35:F43)+4*Stand!F44)/13</f>
        <v/>
      </c>
      <c r="G34" s="5">
        <f>2*(SUM(Stand!G35:G43)+4*Stand!G44)/13</f>
        <v/>
      </c>
      <c r="H34" s="5">
        <f>2*(SUM(Stand!H35:H43)+4*Stand!H44)/13</f>
        <v/>
      </c>
      <c r="I34" s="5">
        <f>2*(SUM(Stand!I35:I43)+4*Stand!I44)/13</f>
        <v/>
      </c>
      <c r="J34" s="5">
        <f>2*(SUM(Stand!J35:J43)+4*Stand!J44)/13</f>
        <v/>
      </c>
      <c r="K34" s="5">
        <f>2*(SUM(Stand!K35:K43)+4*Stand!K44)/13</f>
        <v/>
      </c>
    </row>
    <row r="35" ht="12.5" customHeight="1" s="12">
      <c r="A35" s="5" t="n">
        <v>15</v>
      </c>
      <c r="B35" s="5">
        <f>2*(SUM(Stand!B36:B44)+4*Stand!B45)/13</f>
        <v/>
      </c>
      <c r="C35" s="5">
        <f>2*(SUM(Stand!C36:C44)+4*Stand!C45)/13</f>
        <v/>
      </c>
      <c r="D35" s="5">
        <f>2*(SUM(Stand!D36:D44)+4*Stand!D45)/13</f>
        <v/>
      </c>
      <c r="E35" s="5">
        <f>2*(SUM(Stand!E36:E44)+4*Stand!E45)/13</f>
        <v/>
      </c>
      <c r="F35" s="5">
        <f>2*(SUM(Stand!F36:F44)+4*Stand!F45)/13</f>
        <v/>
      </c>
      <c r="G35" s="5">
        <f>2*(SUM(Stand!G36:G44)+4*Stand!G45)/13</f>
        <v/>
      </c>
      <c r="H35" s="5">
        <f>2*(SUM(Stand!H36:H44)+4*Stand!H45)/13</f>
        <v/>
      </c>
      <c r="I35" s="5">
        <f>2*(SUM(Stand!I36:I44)+4*Stand!I45)/13</f>
        <v/>
      </c>
      <c r="J35" s="5">
        <f>2*(SUM(Stand!J36:J44)+4*Stand!J45)/13</f>
        <v/>
      </c>
      <c r="K35" s="5">
        <f>2*(SUM(Stand!K36:K44)+4*Stand!K45)/13</f>
        <v/>
      </c>
    </row>
    <row r="36" ht="12.5" customHeight="1" s="12">
      <c r="A36" s="5" t="n">
        <v>16</v>
      </c>
      <c r="B36" s="5">
        <f>2*(SUM(Stand!B37:B45)+4*Stand!B46)/13</f>
        <v/>
      </c>
      <c r="C36" s="5">
        <f>2*(SUM(Stand!C37:C45)+4*Stand!C46)/13</f>
        <v/>
      </c>
      <c r="D36" s="5">
        <f>2*(SUM(Stand!D37:D45)+4*Stand!D46)/13</f>
        <v/>
      </c>
      <c r="E36" s="5">
        <f>2*(SUM(Stand!E37:E45)+4*Stand!E46)/13</f>
        <v/>
      </c>
      <c r="F36" s="5">
        <f>2*(SUM(Stand!F37:F45)+4*Stand!F46)/13</f>
        <v/>
      </c>
      <c r="G36" s="5">
        <f>2*(SUM(Stand!G37:G45)+4*Stand!G46)/13</f>
        <v/>
      </c>
      <c r="H36" s="5">
        <f>2*(SUM(Stand!H37:H45)+4*Stand!H46)/13</f>
        <v/>
      </c>
      <c r="I36" s="5">
        <f>2*(SUM(Stand!I37:I45)+4*Stand!I46)/13</f>
        <v/>
      </c>
      <c r="J36" s="5">
        <f>2*(SUM(Stand!J37:J45)+4*Stand!J46)/13</f>
        <v/>
      </c>
      <c r="K36" s="5">
        <f>2*(SUM(Stand!K37:K45)+4*Stand!K46)/13</f>
        <v/>
      </c>
    </row>
    <row r="37" ht="12.5" customHeight="1" s="12">
      <c r="A37" s="5" t="n">
        <v>17</v>
      </c>
      <c r="B37" s="5">
        <f>2*(SUM(Stand!B38:B46)+4*Stand!B47)/13</f>
        <v/>
      </c>
      <c r="C37" s="5">
        <f>2*(SUM(Stand!C38:C46)+4*Stand!C47)/13</f>
        <v/>
      </c>
      <c r="D37" s="5">
        <f>2*(SUM(Stand!D38:D46)+4*Stand!D47)/13</f>
        <v/>
      </c>
      <c r="E37" s="5">
        <f>2*(SUM(Stand!E38:E46)+4*Stand!E47)/13</f>
        <v/>
      </c>
      <c r="F37" s="5">
        <f>2*(SUM(Stand!F38:F46)+4*Stand!F47)/13</f>
        <v/>
      </c>
      <c r="G37" s="5">
        <f>2*(SUM(Stand!G38:G46)+4*Stand!G47)/13</f>
        <v/>
      </c>
      <c r="H37" s="5">
        <f>2*(SUM(Stand!H38:H46)+4*Stand!H47)/13</f>
        <v/>
      </c>
      <c r="I37" s="5">
        <f>2*(SUM(Stand!I38:I46)+4*Stand!I47)/13</f>
        <v/>
      </c>
      <c r="J37" s="5">
        <f>2*(SUM(Stand!J38:J46)+4*Stand!J47)/13</f>
        <v/>
      </c>
      <c r="K37" s="5">
        <f>2*(SUM(Stand!K38:K46)+4*Stand!K47)/13</f>
        <v/>
      </c>
    </row>
    <row r="38" ht="12.5" customHeight="1" s="12">
      <c r="A38" s="5" t="n">
        <v>18</v>
      </c>
      <c r="B38" s="5">
        <f>2*(SUM(Stand!B39:B47)+4*Stand!B48)/13</f>
        <v/>
      </c>
      <c r="C38" s="5">
        <f>2*(SUM(Stand!C39:C47)+4*Stand!C48)/13</f>
        <v/>
      </c>
      <c r="D38" s="5">
        <f>2*(SUM(Stand!D39:D47)+4*Stand!D48)/13</f>
        <v/>
      </c>
      <c r="E38" s="5">
        <f>2*(SUM(Stand!E39:E47)+4*Stand!E48)/13</f>
        <v/>
      </c>
      <c r="F38" s="5">
        <f>2*(SUM(Stand!F39:F47)+4*Stand!F48)/13</f>
        <v/>
      </c>
      <c r="G38" s="5">
        <f>2*(SUM(Stand!G39:G47)+4*Stand!G48)/13</f>
        <v/>
      </c>
      <c r="H38" s="5">
        <f>2*(SUM(Stand!H39:H47)+4*Stand!H48)/13</f>
        <v/>
      </c>
      <c r="I38" s="5">
        <f>2*(SUM(Stand!I39:I47)+4*Stand!I48)/13</f>
        <v/>
      </c>
      <c r="J38" s="5">
        <f>2*(SUM(Stand!J39:J47)+4*Stand!J48)/13</f>
        <v/>
      </c>
      <c r="K38" s="5">
        <f>2*(SUM(Stand!K39:K47)+4*Stand!K48)/13</f>
        <v/>
      </c>
    </row>
    <row r="39" ht="12.5" customHeight="1" s="12">
      <c r="A39" s="5" t="n">
        <v>19</v>
      </c>
      <c r="B39" s="5">
        <f>2*(SUM(Stand!B40:B48)+4*Stand!B49)/13</f>
        <v/>
      </c>
      <c r="C39" s="5">
        <f>2*(SUM(Stand!C40:C48)+4*Stand!C49)/13</f>
        <v/>
      </c>
      <c r="D39" s="5">
        <f>2*(SUM(Stand!D40:D48)+4*Stand!D49)/13</f>
        <v/>
      </c>
      <c r="E39" s="5">
        <f>2*(SUM(Stand!E40:E48)+4*Stand!E49)/13</f>
        <v/>
      </c>
      <c r="F39" s="5">
        <f>2*(SUM(Stand!F40:F48)+4*Stand!F49)/13</f>
        <v/>
      </c>
      <c r="G39" s="5">
        <f>2*(SUM(Stand!G40:G48)+4*Stand!G49)/13</f>
        <v/>
      </c>
      <c r="H39" s="5">
        <f>2*(SUM(Stand!H40:H48)+4*Stand!H49)/13</f>
        <v/>
      </c>
      <c r="I39" s="5">
        <f>2*(SUM(Stand!I40:I48)+4*Stand!I49)/13</f>
        <v/>
      </c>
      <c r="J39" s="5">
        <f>2*(SUM(Stand!J40:J48)+4*Stand!J49)/13</f>
        <v/>
      </c>
      <c r="K39" s="5">
        <f>2*(SUM(Stand!K40:K48)+4*Stand!K49)/13</f>
        <v/>
      </c>
    </row>
    <row r="40" ht="12.5" customHeight="1" s="12">
      <c r="A40" s="5" t="n">
        <v>20</v>
      </c>
      <c r="B40" s="5">
        <f>2*(SUM(Stand!B41:B49)+4*Stand!B50)/13</f>
        <v/>
      </c>
      <c r="C40" s="5">
        <f>2*(SUM(Stand!C41:C49)+4*Stand!C50)/13</f>
        <v/>
      </c>
      <c r="D40" s="5">
        <f>2*(SUM(Stand!D41:D49)+4*Stand!D50)/13</f>
        <v/>
      </c>
      <c r="E40" s="5">
        <f>2*(SUM(Stand!E41:E49)+4*Stand!E50)/13</f>
        <v/>
      </c>
      <c r="F40" s="5">
        <f>2*(SUM(Stand!F41:F49)+4*Stand!F50)/13</f>
        <v/>
      </c>
      <c r="G40" s="5">
        <f>2*(SUM(Stand!G41:G49)+4*Stand!G50)/13</f>
        <v/>
      </c>
      <c r="H40" s="5">
        <f>2*(SUM(Stand!H41:H49)+4*Stand!H50)/13</f>
        <v/>
      </c>
      <c r="I40" s="5">
        <f>2*(SUM(Stand!I41:I49)+4*Stand!I50)/13</f>
        <v/>
      </c>
      <c r="J40" s="5">
        <f>2*(SUM(Stand!J41:J49)+4*Stand!J50)/13</f>
        <v/>
      </c>
      <c r="K40" s="5">
        <f>2*(SUM(Stand!K41:K49)+4*Stand!K50)/13</f>
        <v/>
      </c>
    </row>
    <row r="41" ht="12.5" customHeight="1" s="12">
      <c r="A41" s="5" t="n">
        <v>21</v>
      </c>
      <c r="B41" s="5">
        <f>2*(SUM(Stand!B42:B50)+4*Stand!B51)/13</f>
        <v/>
      </c>
      <c r="C41" s="5">
        <f>2*(SUM(Stand!C42:C50)+4*Stand!C51)/13</f>
        <v/>
      </c>
      <c r="D41" s="5">
        <f>2*(SUM(Stand!D42:D50)+4*Stand!D51)/13</f>
        <v/>
      </c>
      <c r="E41" s="5">
        <f>2*(SUM(Stand!E42:E50)+4*Stand!E51)/13</f>
        <v/>
      </c>
      <c r="F41" s="5">
        <f>2*(SUM(Stand!F42:F50)+4*Stand!F51)/13</f>
        <v/>
      </c>
      <c r="G41" s="5">
        <f>2*(SUM(Stand!G42:G50)+4*Stand!G51)/13</f>
        <v/>
      </c>
      <c r="H41" s="5">
        <f>2*(SUM(Stand!H42:H50)+4*Stand!H51)/13</f>
        <v/>
      </c>
      <c r="I41" s="5">
        <f>2*(SUM(Stand!I42:I50)+4*Stand!I51)/13</f>
        <v/>
      </c>
      <c r="J41" s="5">
        <f>2*(SUM(Stand!J42:J50)+4*Stand!J51)/13</f>
        <v/>
      </c>
      <c r="K41" s="5">
        <f>2*(SUM(Stand!K42:K50)+4*Stand!K51)/13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MAX(Hit!B2,Stand!B2,Double!B2)</f>
        <v/>
      </c>
      <c r="C2" s="5">
        <f>MAX(Hit!C2,Stand!C2,Double!C2)</f>
        <v/>
      </c>
      <c r="D2" s="5">
        <f>MAX(Hit!D2,Stand!D2,Double!D2)</f>
        <v/>
      </c>
      <c r="E2" s="5">
        <f>MAX(Hit!E2,Stand!E2,Double!E2)</f>
        <v/>
      </c>
      <c r="F2" s="5">
        <f>MAX(Hit!F2,Stand!F2,Double!F2)</f>
        <v/>
      </c>
      <c r="G2" s="5">
        <f>MAX(Hit!G2,Stand!G2,Double!G2)</f>
        <v/>
      </c>
      <c r="H2" s="5">
        <f>MAX(Hit!H2,Stand!H2,Double!H2)</f>
        <v/>
      </c>
      <c r="I2" s="5">
        <f>MAX(Hit!I2,Stand!I2,Double!I2)</f>
        <v/>
      </c>
      <c r="J2" s="5">
        <f>MAX(Hit!J2,Stand!J2,Double!J2)</f>
        <v/>
      </c>
      <c r="K2" s="5">
        <f>MAX(Hit!K2,Stand!K2,Double!K2)</f>
        <v/>
      </c>
      <c r="M2" s="5" t="n">
        <v>4</v>
      </c>
      <c r="N2" s="2">
        <f>IF(B2=Stand!B2,"S",IF(B2=Double!B2,"D","H"))</f>
        <v/>
      </c>
      <c r="O2" s="2">
        <f>IF(C2=Stand!C2,"S",IF(C2=Double!C2,"D","H"))</f>
        <v/>
      </c>
      <c r="P2" s="2">
        <f>IF(D2=Stand!D2,"S",IF(D2=Double!D2,"D","H"))</f>
        <v/>
      </c>
      <c r="Q2" s="2">
        <f>IF(E2=Stand!E2,"S",IF(E2=Double!E2,"D","H"))</f>
        <v/>
      </c>
      <c r="R2" s="2">
        <f>IF(F2=Stand!F2,"S",IF(F2=Double!F2,"D","H"))</f>
        <v/>
      </c>
      <c r="S2" s="2">
        <f>IF(G2=Stand!G2,"S",IF(G2=Double!G2,"D","H"))</f>
        <v/>
      </c>
      <c r="T2" s="2">
        <f>IF(H2=Stand!H2,"S",IF(H2=Double!H2,"D","H"))</f>
        <v/>
      </c>
      <c r="U2" s="2">
        <f>IF(I2=Stand!I2,"S",IF(I2=Double!I2,"D","H"))</f>
        <v/>
      </c>
      <c r="V2" s="2">
        <f>IF(J2=Stand!J2,"S",IF(J2=Double!J2,"D","H"))</f>
        <v/>
      </c>
      <c r="W2" s="2">
        <f>IF(K2=Stand!K2,"S",IF(K2=Double!K2,"D","H"))</f>
        <v/>
      </c>
    </row>
    <row r="3" ht="15.75" customHeight="1" s="12">
      <c r="A3" s="5" t="n">
        <v>5</v>
      </c>
      <c r="B3" s="5">
        <f>MAX(Hit!B3,Stand!B3,Double!B3)</f>
        <v/>
      </c>
      <c r="C3" s="5">
        <f>MAX(Hit!C3,Stand!C3,Double!C3)</f>
        <v/>
      </c>
      <c r="D3" s="5">
        <f>MAX(Hit!D3,Stand!D3,Double!D3)</f>
        <v/>
      </c>
      <c r="E3" s="5">
        <f>MAX(Hit!E3,Stand!E3,Double!E3)</f>
        <v/>
      </c>
      <c r="F3" s="5">
        <f>MAX(Hit!F3,Stand!F3,Double!F3)</f>
        <v/>
      </c>
      <c r="G3" s="5">
        <f>MAX(Hit!G3,Stand!G3,Double!G3)</f>
        <v/>
      </c>
      <c r="H3" s="5">
        <f>MAX(Hit!H3,Stand!H3,Double!H3)</f>
        <v/>
      </c>
      <c r="I3" s="5">
        <f>MAX(Hit!I3,Stand!I3,Double!I3)</f>
        <v/>
      </c>
      <c r="J3" s="5">
        <f>MAX(Hit!J3,Stand!J3,Double!J3)</f>
        <v/>
      </c>
      <c r="K3" s="5">
        <f>MAX(Hit!K3,Stand!K3,Double!K3)</f>
        <v/>
      </c>
      <c r="M3" s="5" t="n">
        <v>5</v>
      </c>
      <c r="N3" s="2">
        <f>IF(B3=Stand!B3,"S",IF(B3=Double!B3,"D","H"))</f>
        <v/>
      </c>
      <c r="O3" s="2">
        <f>IF(C3=Stand!C3,"S",IF(C3=Double!C3,"D","H"))</f>
        <v/>
      </c>
      <c r="P3" s="2">
        <f>IF(D3=Stand!D3,"S",IF(D3=Double!D3,"D","H"))</f>
        <v/>
      </c>
      <c r="Q3" s="2">
        <f>IF(E3=Stand!E3,"S",IF(E3=Double!E3,"D","H"))</f>
        <v/>
      </c>
      <c r="R3" s="2">
        <f>IF(F3=Stand!F3,"S",IF(F3=Double!F3,"D","H"))</f>
        <v/>
      </c>
      <c r="S3" s="2">
        <f>IF(G3=Stand!G3,"S",IF(G3=Double!G3,"D","H"))</f>
        <v/>
      </c>
      <c r="T3" s="2">
        <f>IF(H3=Stand!H3,"S",IF(H3=Double!H3,"D","H"))</f>
        <v/>
      </c>
      <c r="U3" s="2">
        <f>IF(I3=Stand!I3,"S",IF(I3=Double!I3,"D","H"))</f>
        <v/>
      </c>
      <c r="V3" s="2">
        <f>IF(J3=Stand!J3,"S",IF(J3=Double!J3,"D","H"))</f>
        <v/>
      </c>
      <c r="W3" s="2">
        <f>IF(K3=Stand!K3,"S",IF(K3=Double!K3,"D","H"))</f>
        <v/>
      </c>
    </row>
    <row r="4" ht="15.75" customHeight="1" s="12">
      <c r="A4" s="5" t="n">
        <v>6</v>
      </c>
      <c r="B4" s="5">
        <f>MAX(Hit!B4,Stand!B4,Double!B4)</f>
        <v/>
      </c>
      <c r="C4" s="5">
        <f>MAX(Hit!C4,Stand!C4,Double!C4)</f>
        <v/>
      </c>
      <c r="D4" s="5">
        <f>MAX(Hit!D4,Stand!D4,Double!D4)</f>
        <v/>
      </c>
      <c r="E4" s="5">
        <f>MAX(Hit!E4,Stand!E4,Double!E4)</f>
        <v/>
      </c>
      <c r="F4" s="5">
        <f>MAX(Hit!F4,Stand!F4,Double!F4)</f>
        <v/>
      </c>
      <c r="G4" s="5">
        <f>MAX(Hit!G4,Stand!G4,Double!G4)</f>
        <v/>
      </c>
      <c r="H4" s="5">
        <f>MAX(Hit!H4,Stand!H4,Double!H4)</f>
        <v/>
      </c>
      <c r="I4" s="5">
        <f>MAX(Hit!I4,Stand!I4,Double!I4)</f>
        <v/>
      </c>
      <c r="J4" s="5">
        <f>MAX(Hit!J4,Stand!J4,Double!J4)</f>
        <v/>
      </c>
      <c r="K4" s="5">
        <f>MAX(Hit!K4,Stand!K4,Double!K4)</f>
        <v/>
      </c>
      <c r="M4" s="5" t="n">
        <v>6</v>
      </c>
      <c r="N4" s="2">
        <f>IF(B4=Stand!B4,"S",IF(B4=Double!B4,"D","H"))</f>
        <v/>
      </c>
      <c r="O4" s="2">
        <f>IF(C4=Stand!C4,"S",IF(C4=Double!C4,"D","H"))</f>
        <v/>
      </c>
      <c r="P4" s="2">
        <f>IF(D4=Stand!D4,"S",IF(D4=Double!D4,"D","H"))</f>
        <v/>
      </c>
      <c r="Q4" s="2">
        <f>IF(E4=Stand!E4,"S",IF(E4=Double!E4,"D","H"))</f>
        <v/>
      </c>
      <c r="R4" s="2">
        <f>IF(F4=Stand!F4,"S",IF(F4=Double!F4,"D","H"))</f>
        <v/>
      </c>
      <c r="S4" s="2">
        <f>IF(G4=Stand!G4,"S",IF(G4=Double!G4,"D","H"))</f>
        <v/>
      </c>
      <c r="T4" s="2">
        <f>IF(H4=Stand!H4,"S",IF(H4=Double!H4,"D","H"))</f>
        <v/>
      </c>
      <c r="U4" s="2">
        <f>IF(I4=Stand!I4,"S",IF(I4=Double!I4,"D","H"))</f>
        <v/>
      </c>
      <c r="V4" s="2">
        <f>IF(J4=Stand!J4,"S",IF(J4=Double!J4,"D","H"))</f>
        <v/>
      </c>
      <c r="W4" s="2">
        <f>IF(K4=Stand!K4,"S",IF(K4=Double!K4,"D","H"))</f>
        <v/>
      </c>
    </row>
    <row r="5" ht="15.75" customHeight="1" s="12">
      <c r="A5" s="5" t="n">
        <v>7</v>
      </c>
      <c r="B5" s="5">
        <f>MAX(Hit!B5,Stand!B5,Double!B5)</f>
        <v/>
      </c>
      <c r="C5" s="5">
        <f>MAX(Hit!C5,Stand!C5,Double!C5)</f>
        <v/>
      </c>
      <c r="D5" s="5">
        <f>MAX(Hit!D5,Stand!D5,Double!D5)</f>
        <v/>
      </c>
      <c r="E5" s="5">
        <f>MAX(Hit!E5,Stand!E5,Double!E5)</f>
        <v/>
      </c>
      <c r="F5" s="5">
        <f>MAX(Hit!F5,Stand!F5,Double!F5)</f>
        <v/>
      </c>
      <c r="G5" s="5">
        <f>MAX(Hit!G5,Stand!G5,Double!G5)</f>
        <v/>
      </c>
      <c r="H5" s="5">
        <f>MAX(Hit!H5,Stand!H5,Double!H5)</f>
        <v/>
      </c>
      <c r="I5" s="5">
        <f>MAX(Hit!I5,Stand!I5,Double!I5)</f>
        <v/>
      </c>
      <c r="J5" s="5">
        <f>MAX(Hit!J5,Stand!J5,Double!J5)</f>
        <v/>
      </c>
      <c r="K5" s="5">
        <f>MAX(Hit!K5,Stand!K5,Double!K5)</f>
        <v/>
      </c>
      <c r="M5" s="5" t="n">
        <v>7</v>
      </c>
      <c r="N5" s="2">
        <f>IF(B5=Stand!B5,"S",IF(B5=Double!B5,"D","H"))</f>
        <v/>
      </c>
      <c r="O5" s="2">
        <f>IF(C5=Stand!C5,"S",IF(C5=Double!C5,"D","H"))</f>
        <v/>
      </c>
      <c r="P5" s="2">
        <f>IF(D5=Stand!D5,"S",IF(D5=Double!D5,"D","H"))</f>
        <v/>
      </c>
      <c r="Q5" s="2">
        <f>IF(E5=Stand!E5,"S",IF(E5=Double!E5,"D","H"))</f>
        <v/>
      </c>
      <c r="R5" s="2">
        <f>IF(F5=Stand!F5,"S",IF(F5=Double!F5,"D","H"))</f>
        <v/>
      </c>
      <c r="S5" s="2">
        <f>IF(G5=Stand!G5,"S",IF(G5=Double!G5,"D","H"))</f>
        <v/>
      </c>
      <c r="T5" s="2">
        <f>IF(H5=Stand!H5,"S",IF(H5=Double!H5,"D","H"))</f>
        <v/>
      </c>
      <c r="U5" s="2">
        <f>IF(I5=Stand!I5,"S",IF(I5=Double!I5,"D","H"))</f>
        <v/>
      </c>
      <c r="V5" s="2">
        <f>IF(J5=Stand!J5,"S",IF(J5=Double!J5,"D","H"))</f>
        <v/>
      </c>
      <c r="W5" s="2">
        <f>IF(K5=Stand!K5,"S",IF(K5=Double!K5,"D","H"))</f>
        <v/>
      </c>
    </row>
    <row r="6" ht="15.75" customHeight="1" s="12">
      <c r="A6" s="5" t="n">
        <v>8</v>
      </c>
      <c r="B6" s="5">
        <f>MAX(Hit!B6,Stand!B6,Double!B6)</f>
        <v/>
      </c>
      <c r="C6" s="5">
        <f>MAX(Hit!C6,Stand!C6,Double!C6)</f>
        <v/>
      </c>
      <c r="D6" s="5">
        <f>MAX(Hit!D6,Stand!D6,Double!D6)</f>
        <v/>
      </c>
      <c r="E6" s="5">
        <f>MAX(Hit!E6,Stand!E6,Double!E6)</f>
        <v/>
      </c>
      <c r="F6" s="5">
        <f>MAX(Hit!F6,Stand!F6,Double!F6)</f>
        <v/>
      </c>
      <c r="G6" s="5">
        <f>MAX(Hit!G6,Stand!G6,Double!G6)</f>
        <v/>
      </c>
      <c r="H6" s="5">
        <f>MAX(Hit!H6,Stand!H6,Double!H6)</f>
        <v/>
      </c>
      <c r="I6" s="5">
        <f>MAX(Hit!I6,Stand!I6,Double!I6)</f>
        <v/>
      </c>
      <c r="J6" s="5">
        <f>MAX(Hit!J6,Stand!J6,Double!J6)</f>
        <v/>
      </c>
      <c r="K6" s="5">
        <f>MAX(Hit!K6,Stand!K6,Double!K6)</f>
        <v/>
      </c>
      <c r="M6" s="5" t="n">
        <v>8</v>
      </c>
      <c r="N6" s="2">
        <f>IF(B6=Stand!B6,"S",IF(B6=Double!B6,"D","H"))</f>
        <v/>
      </c>
      <c r="O6" s="2">
        <f>IF(C6=Stand!C6,"S",IF(C6=Double!C6,"D","H"))</f>
        <v/>
      </c>
      <c r="P6" s="2">
        <f>IF(D6=Stand!D6,"S",IF(D6=Double!D6,"D","H"))</f>
        <v/>
      </c>
      <c r="Q6" s="2">
        <f>IF(E6=Stand!E6,"S",IF(E6=Double!E6,"D","H"))</f>
        <v/>
      </c>
      <c r="R6" s="2">
        <f>IF(F6=Stand!F6,"S",IF(F6=Double!F6,"D","H"))</f>
        <v/>
      </c>
      <c r="S6" s="2">
        <f>IF(G6=Stand!G6,"S",IF(G6=Double!G6,"D","H"))</f>
        <v/>
      </c>
      <c r="T6" s="2">
        <f>IF(H6=Stand!H6,"S",IF(H6=Double!H6,"D","H"))</f>
        <v/>
      </c>
      <c r="U6" s="2">
        <f>IF(I6=Stand!I6,"S",IF(I6=Double!I6,"D","H"))</f>
        <v/>
      </c>
      <c r="V6" s="2">
        <f>IF(J6=Stand!J6,"S",IF(J6=Double!J6,"D","H"))</f>
        <v/>
      </c>
      <c r="W6" s="2">
        <f>IF(K6=Stand!K6,"S",IF(K6=Double!K6,"D","H"))</f>
        <v/>
      </c>
    </row>
    <row r="7" ht="15.75" customHeight="1" s="12">
      <c r="A7" s="5" t="n">
        <v>9</v>
      </c>
      <c r="B7" s="5">
        <f>MAX(Hit!B7,Stand!B7,Double!B7)</f>
        <v/>
      </c>
      <c r="C7" s="5">
        <f>MAX(Hit!C7,Stand!C7,Double!C7)</f>
        <v/>
      </c>
      <c r="D7" s="5">
        <f>MAX(Hit!D7,Stand!D7,Double!D7)</f>
        <v/>
      </c>
      <c r="E7" s="5">
        <f>MAX(Hit!E7,Stand!E7,Double!E7)</f>
        <v/>
      </c>
      <c r="F7" s="5">
        <f>MAX(Hit!F7,Stand!F7,Double!F7)</f>
        <v/>
      </c>
      <c r="G7" s="5">
        <f>MAX(Hit!G7,Stand!G7,Double!G7)</f>
        <v/>
      </c>
      <c r="H7" s="5">
        <f>MAX(Hit!H7,Stand!H7,Double!H7)</f>
        <v/>
      </c>
      <c r="I7" s="5">
        <f>MAX(Hit!I7,Stand!I7,Double!I7)</f>
        <v/>
      </c>
      <c r="J7" s="5">
        <f>MAX(Hit!J7,Stand!J7,Double!J7)</f>
        <v/>
      </c>
      <c r="K7" s="5">
        <f>MAX(Hit!K7,Stand!K7,Double!K7)</f>
        <v/>
      </c>
      <c r="M7" s="5" t="n">
        <v>9</v>
      </c>
      <c r="N7" s="2">
        <f>IF(B7=Stand!B7,"S",IF(B7=Double!B7,"D","H"))</f>
        <v/>
      </c>
      <c r="O7" s="2">
        <f>IF(C7=Stand!C7,"S",IF(C7=Double!C7,"D","H"))</f>
        <v/>
      </c>
      <c r="P7" s="2">
        <f>IF(D7=Stand!D7,"S",IF(D7=Double!D7,"D","H"))</f>
        <v/>
      </c>
      <c r="Q7" s="2">
        <f>IF(E7=Stand!E7,"S",IF(E7=Double!E7,"D","H"))</f>
        <v/>
      </c>
      <c r="R7" s="2">
        <f>IF(F7=Stand!F7,"S",IF(F7=Double!F7,"D","H"))</f>
        <v/>
      </c>
      <c r="S7" s="2">
        <f>IF(G7=Stand!G7,"S",IF(G7=Double!G7,"D","H"))</f>
        <v/>
      </c>
      <c r="T7" s="2">
        <f>IF(H7=Stand!H7,"S",IF(H7=Double!H7,"D","H"))</f>
        <v/>
      </c>
      <c r="U7" s="2">
        <f>IF(I7=Stand!I7,"S",IF(I7=Double!I7,"D","H"))</f>
        <v/>
      </c>
      <c r="V7" s="2">
        <f>IF(J7=Stand!J7,"S",IF(J7=Double!J7,"D","H"))</f>
        <v/>
      </c>
      <c r="W7" s="2">
        <f>IF(K7=Stand!K7,"S",IF(K7=Double!K7,"D","H"))</f>
        <v/>
      </c>
    </row>
    <row r="8" ht="15.75" customHeight="1" s="12">
      <c r="A8" s="5" t="n">
        <v>10</v>
      </c>
      <c r="B8" s="5">
        <f>MAX(Hit!B8,Stand!B8,Double!B8)</f>
        <v/>
      </c>
      <c r="C8" s="5">
        <f>MAX(Hit!C8,Stand!C8,Double!C8)</f>
        <v/>
      </c>
      <c r="D8" s="5">
        <f>MAX(Hit!D8,Stand!D8,Double!D8)</f>
        <v/>
      </c>
      <c r="E8" s="5">
        <f>MAX(Hit!E8,Stand!E8,Double!E8)</f>
        <v/>
      </c>
      <c r="F8" s="5">
        <f>MAX(Hit!F8,Stand!F8,Double!F8)</f>
        <v/>
      </c>
      <c r="G8" s="5">
        <f>MAX(Hit!G8,Stand!G8,Double!G8)</f>
        <v/>
      </c>
      <c r="H8" s="5">
        <f>MAX(Hit!H8,Stand!H8,Double!H8)</f>
        <v/>
      </c>
      <c r="I8" s="5">
        <f>MAX(Hit!I8,Stand!I8,Double!I8)</f>
        <v/>
      </c>
      <c r="J8" s="5">
        <f>MAX(Hit!J8,Stand!J8,Double!J8)</f>
        <v/>
      </c>
      <c r="K8" s="5">
        <f>MAX(Hit!K8,Stand!K8,Double!K8)</f>
        <v/>
      </c>
      <c r="M8" s="5" t="n">
        <v>10</v>
      </c>
      <c r="N8" s="2">
        <f>IF(B8=Stand!B8,"S",IF(B8=Double!B8,"D","H"))</f>
        <v/>
      </c>
      <c r="O8" s="2">
        <f>IF(C8=Stand!C8,"S",IF(C8=Double!C8,"D","H"))</f>
        <v/>
      </c>
      <c r="P8" s="2">
        <f>IF(D8=Stand!D8,"S",IF(D8=Double!D8,"D","H"))</f>
        <v/>
      </c>
      <c r="Q8" s="2">
        <f>IF(E8=Stand!E8,"S",IF(E8=Double!E8,"D","H"))</f>
        <v/>
      </c>
      <c r="R8" s="2">
        <f>IF(F8=Stand!F8,"S",IF(F8=Double!F8,"D","H"))</f>
        <v/>
      </c>
      <c r="S8" s="2">
        <f>IF(G8=Stand!G8,"S",IF(G8=Double!G8,"D","H"))</f>
        <v/>
      </c>
      <c r="T8" s="2">
        <f>IF(H8=Stand!H8,"S",IF(H8=Double!H8,"D","H"))</f>
        <v/>
      </c>
      <c r="U8" s="2">
        <f>IF(I8=Stand!I8,"S",IF(I8=Double!I8,"D","H"))</f>
        <v/>
      </c>
      <c r="V8" s="2">
        <f>IF(J8=Stand!J8,"S",IF(J8=Double!J8,"D","H"))</f>
        <v/>
      </c>
      <c r="W8" s="2">
        <f>IF(K8=Stand!K8,"S",IF(K8=Double!K8,"D","H"))</f>
        <v/>
      </c>
    </row>
    <row r="9" ht="15.75" customHeight="1" s="12">
      <c r="A9" s="5" t="n">
        <v>11</v>
      </c>
      <c r="B9" s="5">
        <f>MAX(Hit!B9,Stand!B9,Double!B9)</f>
        <v/>
      </c>
      <c r="C9" s="5">
        <f>MAX(Hit!C9,Stand!C9,Double!C9)</f>
        <v/>
      </c>
      <c r="D9" s="5">
        <f>MAX(Hit!D9,Stand!D9,Double!D9)</f>
        <v/>
      </c>
      <c r="E9" s="5">
        <f>MAX(Hit!E9,Stand!E9,Double!E9)</f>
        <v/>
      </c>
      <c r="F9" s="5">
        <f>MAX(Hit!F9,Stand!F9,Double!F9)</f>
        <v/>
      </c>
      <c r="G9" s="5">
        <f>MAX(Hit!G9,Stand!G9,Double!G9)</f>
        <v/>
      </c>
      <c r="H9" s="5">
        <f>MAX(Hit!H9,Stand!H9,Double!H9)</f>
        <v/>
      </c>
      <c r="I9" s="5">
        <f>MAX(Hit!I9,Stand!I9,Double!I9)</f>
        <v/>
      </c>
      <c r="J9" s="5">
        <f>MAX(Hit!J9,Stand!J9,Double!J9)</f>
        <v/>
      </c>
      <c r="K9" s="5">
        <f>MAX(Hit!K9,Stand!K9,Double!K9)</f>
        <v/>
      </c>
      <c r="M9" s="5" t="n">
        <v>11</v>
      </c>
      <c r="N9" s="2">
        <f>IF(B9=Stand!B9,"S",IF(B9=Double!B9,"D","H"))</f>
        <v/>
      </c>
      <c r="O9" s="2">
        <f>IF(C9=Stand!C9,"S",IF(C9=Double!C9,"D","H"))</f>
        <v/>
      </c>
      <c r="P9" s="2">
        <f>IF(D9=Stand!D9,"S",IF(D9=Double!D9,"D","H"))</f>
        <v/>
      </c>
      <c r="Q9" s="2">
        <f>IF(E9=Stand!E9,"S",IF(E9=Double!E9,"D","H"))</f>
        <v/>
      </c>
      <c r="R9" s="2">
        <f>IF(F9=Stand!F9,"S",IF(F9=Double!F9,"D","H"))</f>
        <v/>
      </c>
      <c r="S9" s="2">
        <f>IF(G9=Stand!G9,"S",IF(G9=Double!G9,"D","H"))</f>
        <v/>
      </c>
      <c r="T9" s="2">
        <f>IF(H9=Stand!H9,"S",IF(H9=Double!H9,"D","H"))</f>
        <v/>
      </c>
      <c r="U9" s="2">
        <f>IF(I9=Stand!I9,"S",IF(I9=Double!I9,"D","H"))</f>
        <v/>
      </c>
      <c r="V9" s="2">
        <f>IF(J9=Stand!J9,"S",IF(J9=Double!J9,"D","H"))</f>
        <v/>
      </c>
      <c r="W9" s="2">
        <f>IF(K9=Stand!K9,"S",IF(K9=Double!K9,"D","H"))</f>
        <v/>
      </c>
    </row>
    <row r="10" ht="15.75" customHeight="1" s="12">
      <c r="A10" s="5" t="n">
        <v>12</v>
      </c>
      <c r="B10" s="5">
        <f>MAX(Hit!B10,Stand!B10,Double!B10)</f>
        <v/>
      </c>
      <c r="C10" s="5">
        <f>MAX(Hit!C10,Stand!C10,Double!C10)</f>
        <v/>
      </c>
      <c r="D10" s="5">
        <f>MAX(Hit!D10,Stand!D10,Double!D10)</f>
        <v/>
      </c>
      <c r="E10" s="5">
        <f>MAX(Hit!E10,Stand!E10,Double!E10)</f>
        <v/>
      </c>
      <c r="F10" s="5">
        <f>MAX(Hit!F10,Stand!F10,Double!F10)</f>
        <v/>
      </c>
      <c r="G10" s="5">
        <f>MAX(Hit!G10,Stand!G10,Double!G10)</f>
        <v/>
      </c>
      <c r="H10" s="5">
        <f>MAX(Hit!H10,Stand!H10,Double!H10)</f>
        <v/>
      </c>
      <c r="I10" s="5">
        <f>MAX(Hit!I10,Stand!I10,Double!I10)</f>
        <v/>
      </c>
      <c r="J10" s="5">
        <f>MAX(Hit!J10,Stand!J10,Double!J10)</f>
        <v/>
      </c>
      <c r="K10" s="5">
        <f>MAX(Hit!K10,Stand!K10,Double!K10)</f>
        <v/>
      </c>
      <c r="M10" s="5" t="n">
        <v>12</v>
      </c>
      <c r="N10" s="2">
        <f>IF(B10=Stand!B10,"S",IF(B10=Double!B10,"D","H"))</f>
        <v/>
      </c>
      <c r="O10" s="2">
        <f>IF(C10=Stand!C10,"S",IF(C10=Double!C10,"D","H"))</f>
        <v/>
      </c>
      <c r="P10" s="2">
        <f>IF(D10=Stand!D10,"S",IF(D10=Double!D10,"D","H"))</f>
        <v/>
      </c>
      <c r="Q10" s="2">
        <f>IF(E10=Stand!E10,"S",IF(E10=Double!E10,"D","H"))</f>
        <v/>
      </c>
      <c r="R10" s="2">
        <f>IF(F10=Stand!F10,"S",IF(F10=Double!F10,"D","H"))</f>
        <v/>
      </c>
      <c r="S10" s="2">
        <f>IF(G10=Stand!G10,"S",IF(G10=Double!G10,"D","H"))</f>
        <v/>
      </c>
      <c r="T10" s="2">
        <f>IF(H10=Stand!H10,"S",IF(H10=Double!H10,"D","H"))</f>
        <v/>
      </c>
      <c r="U10" s="2">
        <f>IF(I10=Stand!I10,"S",IF(I10=Double!I10,"D","H"))</f>
        <v/>
      </c>
      <c r="V10" s="2">
        <f>IF(J10=Stand!J10,"S",IF(J10=Double!J10,"D","H"))</f>
        <v/>
      </c>
      <c r="W10" s="2">
        <f>IF(K10=Stand!K10,"S",IF(K10=Double!K10,"D","H"))</f>
        <v/>
      </c>
    </row>
    <row r="11" ht="15.75" customHeight="1" s="12">
      <c r="A11" s="5" t="n">
        <v>13</v>
      </c>
      <c r="B11" s="5">
        <f>MAX(Hit!B11,Stand!B11,Double!B11)</f>
        <v/>
      </c>
      <c r="C11" s="5">
        <f>MAX(Hit!C11,Stand!C11,Double!C11)</f>
        <v/>
      </c>
      <c r="D11" s="5">
        <f>MAX(Hit!D11,Stand!D11,Double!D11)</f>
        <v/>
      </c>
      <c r="E11" s="5">
        <f>MAX(Hit!E11,Stand!E11,Double!E11)</f>
        <v/>
      </c>
      <c r="F11" s="5">
        <f>MAX(Hit!F11,Stand!F11,Double!F11)</f>
        <v/>
      </c>
      <c r="G11" s="5">
        <f>MAX(Hit!G11,Stand!G11,Double!G11)</f>
        <v/>
      </c>
      <c r="H11" s="5">
        <f>MAX(Hit!H11,Stand!H11,Double!H11)</f>
        <v/>
      </c>
      <c r="I11" s="5">
        <f>MAX(Hit!I11,Stand!I11,Double!I11)</f>
        <v/>
      </c>
      <c r="J11" s="5">
        <f>MAX(Hit!J11,Stand!J11,Double!J11)</f>
        <v/>
      </c>
      <c r="K11" s="5">
        <f>MAX(Hit!K11,Stand!K11,Double!K11)</f>
        <v/>
      </c>
      <c r="M11" s="5" t="n">
        <v>13</v>
      </c>
      <c r="N11" s="2">
        <f>IF(B11=Stand!B11,"S",IF(B11=Double!B11,"D","H"))</f>
        <v/>
      </c>
      <c r="O11" s="2">
        <f>IF(C11=Stand!C11,"S",IF(C11=Double!C11,"D","H"))</f>
        <v/>
      </c>
      <c r="P11" s="2">
        <f>IF(D11=Stand!D11,"S",IF(D11=Double!D11,"D","H"))</f>
        <v/>
      </c>
      <c r="Q11" s="2">
        <f>IF(E11=Stand!E11,"S",IF(E11=Double!E11,"D","H"))</f>
        <v/>
      </c>
      <c r="R11" s="2">
        <f>IF(F11=Stand!F11,"S",IF(F11=Double!F11,"D","H"))</f>
        <v/>
      </c>
      <c r="S11" s="2">
        <f>IF(G11=Stand!G11,"S",IF(G11=Double!G11,"D","H"))</f>
        <v/>
      </c>
      <c r="T11" s="2">
        <f>IF(H11=Stand!H11,"S",IF(H11=Double!H11,"D","H"))</f>
        <v/>
      </c>
      <c r="U11" s="2">
        <f>IF(I11=Stand!I11,"S",IF(I11=Double!I11,"D","H"))</f>
        <v/>
      </c>
      <c r="V11" s="2">
        <f>IF(J11=Stand!J11,"S",IF(J11=Double!J11,"D","H"))</f>
        <v/>
      </c>
      <c r="W11" s="2">
        <f>IF(K11=Stand!K11,"S",IF(K11=Double!K11,"D","H"))</f>
        <v/>
      </c>
    </row>
    <row r="12" ht="15.75" customHeight="1" s="12">
      <c r="A12" s="5" t="n">
        <v>14</v>
      </c>
      <c r="B12" s="5">
        <f>MAX(Hit!B12,Stand!B12,Double!B12)</f>
        <v/>
      </c>
      <c r="C12" s="5">
        <f>MAX(Hit!C12,Stand!C12,Double!C12)</f>
        <v/>
      </c>
      <c r="D12" s="5">
        <f>MAX(Hit!D12,Stand!D12,Double!D12)</f>
        <v/>
      </c>
      <c r="E12" s="5">
        <f>MAX(Hit!E12,Stand!E12,Double!E12)</f>
        <v/>
      </c>
      <c r="F12" s="5">
        <f>MAX(Hit!F12,Stand!F12,Double!F12)</f>
        <v/>
      </c>
      <c r="G12" s="5">
        <f>MAX(Hit!G12,Stand!G12,Double!G12)</f>
        <v/>
      </c>
      <c r="H12" s="5">
        <f>MAX(Hit!H12,Stand!H12,Double!H12)</f>
        <v/>
      </c>
      <c r="I12" s="5">
        <f>MAX(Hit!I12,Stand!I12,Double!I12)</f>
        <v/>
      </c>
      <c r="J12" s="5">
        <f>MAX(Hit!J12,Stand!J12,Double!J12)</f>
        <v/>
      </c>
      <c r="K12" s="5">
        <f>MAX(Hit!K12,Stand!K12,Double!K12)</f>
        <v/>
      </c>
      <c r="M12" s="5" t="n">
        <v>14</v>
      </c>
      <c r="N12" s="2">
        <f>IF(B12=Stand!B12,"S",IF(B12=Double!B12,"D","H"))</f>
        <v/>
      </c>
      <c r="O12" s="2">
        <f>IF(C12=Stand!C12,"S",IF(C12=Double!C12,"D","H"))</f>
        <v/>
      </c>
      <c r="P12" s="2">
        <f>IF(D12=Stand!D12,"S",IF(D12=Double!D12,"D","H"))</f>
        <v/>
      </c>
      <c r="Q12" s="2">
        <f>IF(E12=Stand!E12,"S",IF(E12=Double!E12,"D","H"))</f>
        <v/>
      </c>
      <c r="R12" s="2">
        <f>IF(F12=Stand!F12,"S",IF(F12=Double!F12,"D","H"))</f>
        <v/>
      </c>
      <c r="S12" s="2">
        <f>IF(G12=Stand!G12,"S",IF(G12=Double!G12,"D","H"))</f>
        <v/>
      </c>
      <c r="T12" s="2">
        <f>IF(H12=Stand!H12,"S",IF(H12=Double!H12,"D","H"))</f>
        <v/>
      </c>
      <c r="U12" s="2">
        <f>IF(I12=Stand!I12,"S",IF(I12=Double!I12,"D","H"))</f>
        <v/>
      </c>
      <c r="V12" s="2">
        <f>IF(J12=Stand!J12,"S",IF(J12=Double!J12,"D","H"))</f>
        <v/>
      </c>
      <c r="W12" s="2">
        <f>IF(K12=Stand!K12,"S",IF(K12=Double!K12,"D","H"))</f>
        <v/>
      </c>
    </row>
    <row r="13" ht="15.75" customHeight="1" s="12">
      <c r="A13" s="5" t="n">
        <v>15</v>
      </c>
      <c r="B13" s="5">
        <f>MAX(Hit!B13,Stand!B13,Double!B13)</f>
        <v/>
      </c>
      <c r="C13" s="5">
        <f>MAX(Hit!C13,Stand!C13,Double!C13)</f>
        <v/>
      </c>
      <c r="D13" s="5">
        <f>MAX(Hit!D13,Stand!D13,Double!D13)</f>
        <v/>
      </c>
      <c r="E13" s="5">
        <f>MAX(Hit!E13,Stand!E13,Double!E13)</f>
        <v/>
      </c>
      <c r="F13" s="5">
        <f>MAX(Hit!F13,Stand!F13,Double!F13)</f>
        <v/>
      </c>
      <c r="G13" s="5">
        <f>MAX(Hit!G13,Stand!G13,Double!G13)</f>
        <v/>
      </c>
      <c r="H13" s="5">
        <f>MAX(Hit!H13,Stand!H13,Double!H13)</f>
        <v/>
      </c>
      <c r="I13" s="5">
        <f>MAX(Hit!I13,Stand!I13,Double!I13)</f>
        <v/>
      </c>
      <c r="J13" s="5">
        <f>MAX(Hit!J13,Stand!J13,Double!J13)</f>
        <v/>
      </c>
      <c r="K13" s="5">
        <f>MAX(Hit!K13,Stand!K13,Double!K13)</f>
        <v/>
      </c>
      <c r="M13" s="5" t="n">
        <v>15</v>
      </c>
      <c r="N13" s="2">
        <f>IF(B13=Stand!B13,"S",IF(B13=Double!B13,"D","H"))</f>
        <v/>
      </c>
      <c r="O13" s="2">
        <f>IF(C13=Stand!C13,"S",IF(C13=Double!C13,"D","H"))</f>
        <v/>
      </c>
      <c r="P13" s="2">
        <f>IF(D13=Stand!D13,"S",IF(D13=Double!D13,"D","H"))</f>
        <v/>
      </c>
      <c r="Q13" s="2">
        <f>IF(E13=Stand!E13,"S",IF(E13=Double!E13,"D","H"))</f>
        <v/>
      </c>
      <c r="R13" s="2">
        <f>IF(F13=Stand!F13,"S",IF(F13=Double!F13,"D","H"))</f>
        <v/>
      </c>
      <c r="S13" s="2">
        <f>IF(G13=Stand!G13,"S",IF(G13=Double!G13,"D","H"))</f>
        <v/>
      </c>
      <c r="T13" s="2">
        <f>IF(H13=Stand!H13,"S",IF(H13=Double!H13,"D","H"))</f>
        <v/>
      </c>
      <c r="U13" s="2">
        <f>IF(I13=Stand!I13,"S",IF(I13=Double!I13,"D","H"))</f>
        <v/>
      </c>
      <c r="V13" s="2">
        <f>IF(J13=Stand!J13,"S",IF(J13=Double!J13,"D","H"))</f>
        <v/>
      </c>
      <c r="W13" s="2">
        <f>IF(K13=Stand!K13,"S",IF(K13=Double!K13,"D","H"))</f>
        <v/>
      </c>
    </row>
    <row r="14" ht="15.75" customHeight="1" s="12">
      <c r="A14" s="5" t="n">
        <v>16</v>
      </c>
      <c r="B14" s="5">
        <f>MAX(Hit!B14,Stand!B14,Double!B14)</f>
        <v/>
      </c>
      <c r="C14" s="5">
        <f>MAX(Hit!C14,Stand!C14,Double!C14)</f>
        <v/>
      </c>
      <c r="D14" s="5">
        <f>MAX(Hit!D14,Stand!D14,Double!D14)</f>
        <v/>
      </c>
      <c r="E14" s="5">
        <f>MAX(Hit!E14,Stand!E14,Double!E14)</f>
        <v/>
      </c>
      <c r="F14" s="5">
        <f>MAX(Hit!F14,Stand!F14,Double!F14)</f>
        <v/>
      </c>
      <c r="G14" s="5">
        <f>MAX(Hit!G14,Stand!G14,Double!G14)</f>
        <v/>
      </c>
      <c r="H14" s="5">
        <f>MAX(Hit!H14,Stand!H14,Double!H14)</f>
        <v/>
      </c>
      <c r="I14" s="5">
        <f>MAX(Hit!I14,Stand!I14,Double!I14)</f>
        <v/>
      </c>
      <c r="J14" s="5">
        <f>MAX(Hit!J14,Stand!J14,Double!J14)</f>
        <v/>
      </c>
      <c r="K14" s="5">
        <f>MAX(Hit!K14,Stand!K14,Double!K14)</f>
        <v/>
      </c>
      <c r="M14" s="5" t="n">
        <v>16</v>
      </c>
      <c r="N14" s="2">
        <f>IF(B14=Stand!B14,"S",IF(B14=Double!B14,"D","H"))</f>
        <v/>
      </c>
      <c r="O14" s="2">
        <f>IF(C14=Stand!C14,"S",IF(C14=Double!C14,"D","H"))</f>
        <v/>
      </c>
      <c r="P14" s="2">
        <f>IF(D14=Stand!D14,"S",IF(D14=Double!D14,"D","H"))</f>
        <v/>
      </c>
      <c r="Q14" s="2">
        <f>IF(E14=Stand!E14,"S",IF(E14=Double!E14,"D","H"))</f>
        <v/>
      </c>
      <c r="R14" s="2">
        <f>IF(F14=Stand!F14,"S",IF(F14=Double!F14,"D","H"))</f>
        <v/>
      </c>
      <c r="S14" s="2">
        <f>IF(G14=Stand!G14,"S",IF(G14=Double!G14,"D","H"))</f>
        <v/>
      </c>
      <c r="T14" s="2">
        <f>IF(H14=Stand!H14,"S",IF(H14=Double!H14,"D","H"))</f>
        <v/>
      </c>
      <c r="U14" s="2">
        <f>IF(I14=Stand!I14,"S",IF(I14=Double!I14,"D","H"))</f>
        <v/>
      </c>
      <c r="V14" s="2">
        <f>IF(J14=Stand!J14,"S",IF(J14=Double!J14,"D","H"))</f>
        <v/>
      </c>
      <c r="W14" s="2">
        <f>IF(K14=Stand!K14,"S",IF(K14=Double!K14,"D","H"))</f>
        <v/>
      </c>
    </row>
    <row r="15" ht="15.75" customHeight="1" s="12">
      <c r="A15" s="5" t="n">
        <v>17</v>
      </c>
      <c r="B15" s="5">
        <f>MAX(Hit!B15,Stand!B15,Double!B15)</f>
        <v/>
      </c>
      <c r="C15" s="5">
        <f>MAX(Hit!C15,Stand!C15,Double!C15)</f>
        <v/>
      </c>
      <c r="D15" s="5">
        <f>MAX(Hit!D15,Stand!D15,Double!D15)</f>
        <v/>
      </c>
      <c r="E15" s="5">
        <f>MAX(Hit!E15,Stand!E15,Double!E15)</f>
        <v/>
      </c>
      <c r="F15" s="5">
        <f>MAX(Hit!F15,Stand!F15,Double!F15)</f>
        <v/>
      </c>
      <c r="G15" s="5">
        <f>MAX(Hit!G15,Stand!G15,Double!G15)</f>
        <v/>
      </c>
      <c r="H15" s="5">
        <f>MAX(Hit!H15,Stand!H15,Double!H15)</f>
        <v/>
      </c>
      <c r="I15" s="5">
        <f>MAX(Hit!I15,Stand!I15,Double!I15)</f>
        <v/>
      </c>
      <c r="J15" s="5">
        <f>MAX(Hit!J15,Stand!J15,Double!J15)</f>
        <v/>
      </c>
      <c r="K15" s="5">
        <f>MAX(Hit!K15,Stand!K15,Double!K15)</f>
        <v/>
      </c>
      <c r="M15" s="5" t="n">
        <v>17</v>
      </c>
      <c r="N15" s="2">
        <f>IF(B15=Stand!B15,"S",IF(B15=Double!B15,"D","H"))</f>
        <v/>
      </c>
      <c r="O15" s="2">
        <f>IF(C15=Stand!C15,"S",IF(C15=Double!C15,"D","H"))</f>
        <v/>
      </c>
      <c r="P15" s="2">
        <f>IF(D15=Stand!D15,"S",IF(D15=Double!D15,"D","H"))</f>
        <v/>
      </c>
      <c r="Q15" s="2">
        <f>IF(E15=Stand!E15,"S",IF(E15=Double!E15,"D","H"))</f>
        <v/>
      </c>
      <c r="R15" s="2">
        <f>IF(F15=Stand!F15,"S",IF(F15=Double!F15,"D","H"))</f>
        <v/>
      </c>
      <c r="S15" s="2">
        <f>IF(G15=Stand!G15,"S",IF(G15=Double!G15,"D","H"))</f>
        <v/>
      </c>
      <c r="T15" s="2">
        <f>IF(H15=Stand!H15,"S",IF(H15=Double!H15,"D","H"))</f>
        <v/>
      </c>
      <c r="U15" s="2">
        <f>IF(I15=Stand!I15,"S",IF(I15=Double!I15,"D","H"))</f>
        <v/>
      </c>
      <c r="V15" s="2">
        <f>IF(J15=Stand!J15,"S",IF(J15=Double!J15,"D","H"))</f>
        <v/>
      </c>
      <c r="W15" s="2">
        <f>IF(K15=Stand!K15,"S",IF(K15=Double!K15,"D","H"))</f>
        <v/>
      </c>
    </row>
    <row r="16" ht="15.75" customHeight="1" s="12">
      <c r="A16" s="5" t="n">
        <v>18</v>
      </c>
      <c r="B16" s="5">
        <f>MAX(Hit!B16,Stand!B16,Double!B16)</f>
        <v/>
      </c>
      <c r="C16" s="5">
        <f>MAX(Hit!C16,Stand!C16,Double!C16)</f>
        <v/>
      </c>
      <c r="D16" s="5">
        <f>MAX(Hit!D16,Stand!D16,Double!D16)</f>
        <v/>
      </c>
      <c r="E16" s="5">
        <f>MAX(Hit!E16,Stand!E16,Double!E16)</f>
        <v/>
      </c>
      <c r="F16" s="5">
        <f>MAX(Hit!F16,Stand!F16,Double!F16)</f>
        <v/>
      </c>
      <c r="G16" s="5">
        <f>MAX(Hit!G16,Stand!G16,Double!G16)</f>
        <v/>
      </c>
      <c r="H16" s="5">
        <f>MAX(Hit!H16,Stand!H16,Double!H16)</f>
        <v/>
      </c>
      <c r="I16" s="5">
        <f>MAX(Hit!I16,Stand!I16,Double!I16)</f>
        <v/>
      </c>
      <c r="J16" s="5">
        <f>MAX(Hit!J16,Stand!J16,Double!J16)</f>
        <v/>
      </c>
      <c r="K16" s="5">
        <f>MAX(Hit!K16,Stand!K16,Double!K16)</f>
        <v/>
      </c>
      <c r="M16" s="5" t="n">
        <v>18</v>
      </c>
      <c r="N16" s="2">
        <f>IF(B16=Stand!B16,"S",IF(B16=Double!B16,"D","H"))</f>
        <v/>
      </c>
      <c r="O16" s="2">
        <f>IF(C16=Stand!C16,"S",IF(C16=Double!C16,"D","H"))</f>
        <v/>
      </c>
      <c r="P16" s="2">
        <f>IF(D16=Stand!D16,"S",IF(D16=Double!D16,"D","H"))</f>
        <v/>
      </c>
      <c r="Q16" s="2">
        <f>IF(E16=Stand!E16,"S",IF(E16=Double!E16,"D","H"))</f>
        <v/>
      </c>
      <c r="R16" s="2">
        <f>IF(F16=Stand!F16,"S",IF(F16=Double!F16,"D","H"))</f>
        <v/>
      </c>
      <c r="S16" s="2">
        <f>IF(G16=Stand!G16,"S",IF(G16=Double!G16,"D","H"))</f>
        <v/>
      </c>
      <c r="T16" s="2">
        <f>IF(H16=Stand!H16,"S",IF(H16=Double!H16,"D","H"))</f>
        <v/>
      </c>
      <c r="U16" s="2">
        <f>IF(I16=Stand!I16,"S",IF(I16=Double!I16,"D","H"))</f>
        <v/>
      </c>
      <c r="V16" s="2">
        <f>IF(J16=Stand!J16,"S",IF(J16=Double!J16,"D","H"))</f>
        <v/>
      </c>
      <c r="W16" s="2">
        <f>IF(K16=Stand!K16,"S",IF(K16=Double!K16,"D","H"))</f>
        <v/>
      </c>
    </row>
    <row r="17" ht="15.75" customHeight="1" s="12">
      <c r="A17" s="5" t="n">
        <v>19</v>
      </c>
      <c r="B17" s="5">
        <f>MAX(Hit!B17,Stand!B17,Double!B17)</f>
        <v/>
      </c>
      <c r="C17" s="5">
        <f>MAX(Hit!C17,Stand!C17,Double!C17)</f>
        <v/>
      </c>
      <c r="D17" s="5">
        <f>MAX(Hit!D17,Stand!D17,Double!D17)</f>
        <v/>
      </c>
      <c r="E17" s="5">
        <f>MAX(Hit!E17,Stand!E17,Double!E17)</f>
        <v/>
      </c>
      <c r="F17" s="5">
        <f>MAX(Hit!F17,Stand!F17,Double!F17)</f>
        <v/>
      </c>
      <c r="G17" s="5">
        <f>MAX(Hit!G17,Stand!G17,Double!G17)</f>
        <v/>
      </c>
      <c r="H17" s="5">
        <f>MAX(Hit!H17,Stand!H17,Double!H17)</f>
        <v/>
      </c>
      <c r="I17" s="5">
        <f>MAX(Hit!I17,Stand!I17,Double!I17)</f>
        <v/>
      </c>
      <c r="J17" s="5">
        <f>MAX(Hit!J17,Stand!J17,Double!J17)</f>
        <v/>
      </c>
      <c r="K17" s="5">
        <f>MAX(Hit!K17,Stand!K17,Double!K17)</f>
        <v/>
      </c>
      <c r="M17" s="5" t="n">
        <v>19</v>
      </c>
      <c r="N17" s="2">
        <f>IF(B17=Stand!B17,"S",IF(B17=Double!B17,"D","H"))</f>
        <v/>
      </c>
      <c r="O17" s="2">
        <f>IF(C17=Stand!C17,"S",IF(C17=Double!C17,"D","H"))</f>
        <v/>
      </c>
      <c r="P17" s="2">
        <f>IF(D17=Stand!D17,"S",IF(D17=Double!D17,"D","H"))</f>
        <v/>
      </c>
      <c r="Q17" s="2">
        <f>IF(E17=Stand!E17,"S",IF(E17=Double!E17,"D","H"))</f>
        <v/>
      </c>
      <c r="R17" s="2">
        <f>IF(F17=Stand!F17,"S",IF(F17=Double!F17,"D","H"))</f>
        <v/>
      </c>
      <c r="S17" s="2">
        <f>IF(G17=Stand!G17,"S",IF(G17=Double!G17,"D","H"))</f>
        <v/>
      </c>
      <c r="T17" s="2">
        <f>IF(H17=Stand!H17,"S",IF(H17=Double!H17,"D","H"))</f>
        <v/>
      </c>
      <c r="U17" s="2">
        <f>IF(I17=Stand!I17,"S",IF(I17=Double!I17,"D","H"))</f>
        <v/>
      </c>
      <c r="V17" s="2">
        <f>IF(J17=Stand!J17,"S",IF(J17=Double!J17,"D","H"))</f>
        <v/>
      </c>
      <c r="W17" s="2">
        <f>IF(K17=Stand!K17,"S",IF(K17=Double!K17,"D","H"))</f>
        <v/>
      </c>
    </row>
    <row r="18" ht="15.75" customHeight="1" s="12">
      <c r="A18" s="5" t="n">
        <v>20</v>
      </c>
      <c r="B18" s="5">
        <f>MAX(Hit!B18,Stand!B18,Double!B18)</f>
        <v/>
      </c>
      <c r="C18" s="5">
        <f>MAX(Hit!C18,Stand!C18,Double!C18)</f>
        <v/>
      </c>
      <c r="D18" s="5">
        <f>MAX(Hit!D18,Stand!D18,Double!D18)</f>
        <v/>
      </c>
      <c r="E18" s="5">
        <f>MAX(Hit!E18,Stand!E18,Double!E18)</f>
        <v/>
      </c>
      <c r="F18" s="5">
        <f>MAX(Hit!F18,Stand!F18,Double!F18)</f>
        <v/>
      </c>
      <c r="G18" s="5">
        <f>MAX(Hit!G18,Stand!G18,Double!G18)</f>
        <v/>
      </c>
      <c r="H18" s="5">
        <f>MAX(Hit!H18,Stand!H18,Double!H18)</f>
        <v/>
      </c>
      <c r="I18" s="5">
        <f>MAX(Hit!I18,Stand!I18,Double!I18)</f>
        <v/>
      </c>
      <c r="J18" s="5">
        <f>MAX(Hit!J18,Stand!J18,Double!J18)</f>
        <v/>
      </c>
      <c r="K18" s="5">
        <f>MAX(Hit!K18,Stand!K18,Double!K18)</f>
        <v/>
      </c>
      <c r="M18" s="5" t="n">
        <v>20</v>
      </c>
      <c r="N18" s="2">
        <f>IF(B18=Stand!B18,"S",IF(B18=Double!B18,"D","H"))</f>
        <v/>
      </c>
      <c r="O18" s="2">
        <f>IF(C18=Stand!C18,"S",IF(C18=Double!C18,"D","H"))</f>
        <v/>
      </c>
      <c r="P18" s="2">
        <f>IF(D18=Stand!D18,"S",IF(D18=Double!D18,"D","H"))</f>
        <v/>
      </c>
      <c r="Q18" s="2">
        <f>IF(E18=Stand!E18,"S",IF(E18=Double!E18,"D","H"))</f>
        <v/>
      </c>
      <c r="R18" s="2">
        <f>IF(F18=Stand!F18,"S",IF(F18=Double!F18,"D","H"))</f>
        <v/>
      </c>
      <c r="S18" s="2">
        <f>IF(G18=Stand!G18,"S",IF(G18=Double!G18,"D","H"))</f>
        <v/>
      </c>
      <c r="T18" s="2">
        <f>IF(H18=Stand!H18,"S",IF(H18=Double!H18,"D","H"))</f>
        <v/>
      </c>
      <c r="U18" s="2">
        <f>IF(I18=Stand!I18,"S",IF(I18=Double!I18,"D","H"))</f>
        <v/>
      </c>
      <c r="V18" s="2">
        <f>IF(J18=Stand!J18,"S",IF(J18=Double!J18,"D","H"))</f>
        <v/>
      </c>
      <c r="W18" s="2">
        <f>IF(K18=Stand!K18,"S",IF(K18=Double!K18,"D","H"))</f>
        <v/>
      </c>
    </row>
    <row r="19" ht="15.75" customHeight="1" s="12">
      <c r="A19" s="5" t="n">
        <v>21</v>
      </c>
      <c r="B19" s="5">
        <f>MAX(Hit!B19,Stand!B19,Double!B19)</f>
        <v/>
      </c>
      <c r="C19" s="5">
        <f>MAX(Hit!C19,Stand!C19,Double!C19)</f>
        <v/>
      </c>
      <c r="D19" s="5">
        <f>MAX(Hit!D19,Stand!D19,Double!D19)</f>
        <v/>
      </c>
      <c r="E19" s="5">
        <f>MAX(Hit!E19,Stand!E19,Double!E19)</f>
        <v/>
      </c>
      <c r="F19" s="5">
        <f>MAX(Hit!F19,Stand!F19,Double!F19)</f>
        <v/>
      </c>
      <c r="G19" s="5">
        <f>MAX(Hit!G19,Stand!G19,Double!G19)</f>
        <v/>
      </c>
      <c r="H19" s="5">
        <f>MAX(Hit!H19,Stand!H19,Double!H19)</f>
        <v/>
      </c>
      <c r="I19" s="5">
        <f>MAX(Hit!I19,Stand!I19,Double!I19)</f>
        <v/>
      </c>
      <c r="J19" s="5">
        <f>MAX(Hit!J19,Stand!J19,Double!J19)</f>
        <v/>
      </c>
      <c r="K19" s="5">
        <f>MAX(Hit!K19,Stand!K19,Double!K19)</f>
        <v/>
      </c>
      <c r="M19" s="5" t="n">
        <v>21</v>
      </c>
      <c r="N19" s="2">
        <f>IF(B19=Stand!B19,"S",IF(B19=Double!B19,"D","H"))</f>
        <v/>
      </c>
      <c r="O19" s="2">
        <f>IF(C19=Stand!C19,"S",IF(C19=Double!C19,"D","H"))</f>
        <v/>
      </c>
      <c r="P19" s="2">
        <f>IF(D19=Stand!D19,"S",IF(D19=Double!D19,"D","H"))</f>
        <v/>
      </c>
      <c r="Q19" s="2">
        <f>IF(E19=Stand!E19,"S",IF(E19=Double!E19,"D","H"))</f>
        <v/>
      </c>
      <c r="R19" s="2">
        <f>IF(F19=Stand!F19,"S",IF(F19=Double!F19,"D","H"))</f>
        <v/>
      </c>
      <c r="S19" s="2">
        <f>IF(G19=Stand!G19,"S",IF(G19=Double!G19,"D","H"))</f>
        <v/>
      </c>
      <c r="T19" s="2">
        <f>IF(H19=Stand!H19,"S",IF(H19=Double!H19,"D","H"))</f>
        <v/>
      </c>
      <c r="U19" s="2">
        <f>IF(I19=Stand!I19,"S",IF(I19=Double!I19,"D","H"))</f>
        <v/>
      </c>
      <c r="V19" s="2">
        <f>IF(J19=Stand!J19,"S",IF(J19=Double!J19,"D","H"))</f>
        <v/>
      </c>
      <c r="W19" s="2">
        <f>IF(K19=Stand!K19,"S",IF(K19=Double!K19,"D","H"))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MAX(Hit!B32,Stand!B32,Double!B32)</f>
        <v/>
      </c>
      <c r="C32" s="5">
        <f>MAX(Hit!C32,Stand!C32,Double!C32)</f>
        <v/>
      </c>
      <c r="D32" s="5">
        <f>MAX(Hit!D32,Stand!D32,Double!D32)</f>
        <v/>
      </c>
      <c r="E32" s="5">
        <f>MAX(Hit!E32,Stand!E32,Double!E32)</f>
        <v/>
      </c>
      <c r="F32" s="5">
        <f>MAX(Hit!F32,Stand!F32,Double!F32)</f>
        <v/>
      </c>
      <c r="G32" s="5">
        <f>MAX(Hit!G32,Stand!G32,Double!G32)</f>
        <v/>
      </c>
      <c r="H32" s="5">
        <f>MAX(Hit!H32,Stand!H32,Double!H32)</f>
        <v/>
      </c>
      <c r="I32" s="5">
        <f>MAX(Hit!I32,Stand!I32,Double!I32)</f>
        <v/>
      </c>
      <c r="J32" s="5">
        <f>MAX(Hit!J32,Stand!J32,Double!J32)</f>
        <v/>
      </c>
      <c r="K32" s="5">
        <f>MAX(Hit!K32,Stand!K32,Double!K32)</f>
        <v/>
      </c>
      <c r="M32" s="5" t="n">
        <v>12</v>
      </c>
      <c r="N32" s="2">
        <f>IF(B32=Stand!B32,"S",IF(B32=Double!B32,"D","H"))</f>
        <v/>
      </c>
      <c r="O32" s="2">
        <f>IF(C32=Stand!C32,"S",IF(C32=Double!C32,"D","H"))</f>
        <v/>
      </c>
      <c r="P32" s="2">
        <f>IF(D32=Stand!D32,"S",IF(D32=Double!D32,"D","H"))</f>
        <v/>
      </c>
      <c r="Q32" s="2">
        <f>IF(E32=Stand!E32,"S",IF(E32=Double!E32,"D","H"))</f>
        <v/>
      </c>
      <c r="R32" s="2">
        <f>IF(F32=Stand!F32,"S",IF(F32=Double!F32,"D","H"))</f>
        <v/>
      </c>
      <c r="S32" s="2">
        <f>IF(G32=Stand!G32,"S",IF(G32=Double!G32,"D","H"))</f>
        <v/>
      </c>
      <c r="T32" s="2">
        <f>IF(H32=Stand!H32,"S",IF(H32=Double!H32,"D","H"))</f>
        <v/>
      </c>
      <c r="U32" s="2">
        <f>IF(I32=Stand!I32,"S",IF(I32=Double!I32,"D","H"))</f>
        <v/>
      </c>
      <c r="V32" s="2">
        <f>IF(J32=Stand!J32,"S",IF(J32=Double!J32,"D","H"))</f>
        <v/>
      </c>
      <c r="W32" s="2">
        <f>IF(K32=Stand!K32,"S",IF(K32=Double!K32,"D","H"))</f>
        <v/>
      </c>
    </row>
    <row r="33" ht="12.5" customHeight="1" s="12">
      <c r="A33" s="5" t="n">
        <v>13</v>
      </c>
      <c r="B33" s="5">
        <f>MAX(Hit!B33,Stand!B33,Double!B33)</f>
        <v/>
      </c>
      <c r="C33" s="5">
        <f>MAX(Hit!C33,Stand!C33,Double!C33)</f>
        <v/>
      </c>
      <c r="D33" s="5">
        <f>MAX(Hit!D33,Stand!D33,Double!D33)</f>
        <v/>
      </c>
      <c r="E33" s="5">
        <f>MAX(Hit!E33,Stand!E33,Double!E33)</f>
        <v/>
      </c>
      <c r="F33" s="5">
        <f>MAX(Hit!F33,Stand!F33,Double!F33)</f>
        <v/>
      </c>
      <c r="G33" s="5">
        <f>MAX(Hit!G33,Stand!G33,Double!G33)</f>
        <v/>
      </c>
      <c r="H33" s="5">
        <f>MAX(Hit!H33,Stand!H33,Double!H33)</f>
        <v/>
      </c>
      <c r="I33" s="5">
        <f>MAX(Hit!I33,Stand!I33,Double!I33)</f>
        <v/>
      </c>
      <c r="J33" s="5">
        <f>MAX(Hit!J33,Stand!J33,Double!J33)</f>
        <v/>
      </c>
      <c r="K33" s="5">
        <f>MAX(Hit!K33,Stand!K33,Double!K33)</f>
        <v/>
      </c>
      <c r="M33" s="5" t="n">
        <v>13</v>
      </c>
      <c r="N33" s="2">
        <f>IF(B33=Stand!B33,"S",IF(B33=Double!B33,"D","H"))</f>
        <v/>
      </c>
      <c r="O33" s="2">
        <f>IF(C33=Stand!C33,"S",IF(C33=Double!C33,"D","H"))</f>
        <v/>
      </c>
      <c r="P33" s="2">
        <f>IF(D33=Stand!D33,"S",IF(D33=Double!D33,"D","H"))</f>
        <v/>
      </c>
      <c r="Q33" s="2">
        <f>IF(E33=Stand!E33,"S",IF(E33=Double!E33,"D","H"))</f>
        <v/>
      </c>
      <c r="R33" s="2">
        <f>IF(F33=Stand!F33,"S",IF(F33=Double!F33,"D","H"))</f>
        <v/>
      </c>
      <c r="S33" s="2">
        <f>IF(G33=Stand!G33,"S",IF(G33=Double!G33,"D","H"))</f>
        <v/>
      </c>
      <c r="T33" s="2">
        <f>IF(H33=Stand!H33,"S",IF(H33=Double!H33,"D","H"))</f>
        <v/>
      </c>
      <c r="U33" s="2">
        <f>IF(I33=Stand!I33,"S",IF(I33=Double!I33,"D","H"))</f>
        <v/>
      </c>
      <c r="V33" s="2">
        <f>IF(J33=Stand!J33,"S",IF(J33=Double!J33,"D","H"))</f>
        <v/>
      </c>
      <c r="W33" s="2">
        <f>IF(K33=Stand!K33,"S",IF(K33=Double!K33,"D","H"))</f>
        <v/>
      </c>
    </row>
    <row r="34" ht="12.5" customHeight="1" s="12">
      <c r="A34" s="5" t="n">
        <v>14</v>
      </c>
      <c r="B34" s="5">
        <f>MAX(Hit!B34,Stand!B34,Double!B34)</f>
        <v/>
      </c>
      <c r="C34" s="5">
        <f>MAX(Hit!C34,Stand!C34,Double!C34)</f>
        <v/>
      </c>
      <c r="D34" s="5">
        <f>MAX(Hit!D34,Stand!D34,Double!D34)</f>
        <v/>
      </c>
      <c r="E34" s="5">
        <f>MAX(Hit!E34,Stand!E34,Double!E34)</f>
        <v/>
      </c>
      <c r="F34" s="5">
        <f>MAX(Hit!F34,Stand!F34,Double!F34)</f>
        <v/>
      </c>
      <c r="G34" s="5">
        <f>MAX(Hit!G34,Stand!G34,Double!G34)</f>
        <v/>
      </c>
      <c r="H34" s="5">
        <f>MAX(Hit!H34,Stand!H34,Double!H34)</f>
        <v/>
      </c>
      <c r="I34" s="5">
        <f>MAX(Hit!I34,Stand!I34,Double!I34)</f>
        <v/>
      </c>
      <c r="J34" s="5">
        <f>MAX(Hit!J34,Stand!J34,Double!J34)</f>
        <v/>
      </c>
      <c r="K34" s="5">
        <f>MAX(Hit!K34,Stand!K34,Double!K34)</f>
        <v/>
      </c>
      <c r="M34" s="5" t="n">
        <v>14</v>
      </c>
      <c r="N34" s="2">
        <f>IF(B34=Stand!B34,"S",IF(B34=Double!B34,"D","H"))</f>
        <v/>
      </c>
      <c r="O34" s="2">
        <f>IF(C34=Stand!C34,"S",IF(C34=Double!C34,"D","H"))</f>
        <v/>
      </c>
      <c r="P34" s="2">
        <f>IF(D34=Stand!D34,"S",IF(D34=Double!D34,"D","H"))</f>
        <v/>
      </c>
      <c r="Q34" s="2">
        <f>IF(E34=Stand!E34,"S",IF(E34=Double!E34,"D","H"))</f>
        <v/>
      </c>
      <c r="R34" s="2">
        <f>IF(F34=Stand!F34,"S",IF(F34=Double!F34,"D","H"))</f>
        <v/>
      </c>
      <c r="S34" s="2">
        <f>IF(G34=Stand!G34,"S",IF(G34=Double!G34,"D","H"))</f>
        <v/>
      </c>
      <c r="T34" s="2">
        <f>IF(H34=Stand!H34,"S",IF(H34=Double!H34,"D","H"))</f>
        <v/>
      </c>
      <c r="U34" s="2">
        <f>IF(I34=Stand!I34,"S",IF(I34=Double!I34,"D","H"))</f>
        <v/>
      </c>
      <c r="V34" s="2">
        <f>IF(J34=Stand!J34,"S",IF(J34=Double!J34,"D","H"))</f>
        <v/>
      </c>
      <c r="W34" s="2">
        <f>IF(K34=Stand!K34,"S",IF(K34=Double!K34,"D","H"))</f>
        <v/>
      </c>
    </row>
    <row r="35" ht="12.5" customHeight="1" s="12">
      <c r="A35" s="5" t="n">
        <v>15</v>
      </c>
      <c r="B35" s="5">
        <f>MAX(Hit!B35,Stand!B35,Double!B35)</f>
        <v/>
      </c>
      <c r="C35" s="5">
        <f>MAX(Hit!C35,Stand!C35,Double!C35)</f>
        <v/>
      </c>
      <c r="D35" s="5">
        <f>MAX(Hit!D35,Stand!D35,Double!D35)</f>
        <v/>
      </c>
      <c r="E35" s="5">
        <f>MAX(Hit!E35,Stand!E35,Double!E35)</f>
        <v/>
      </c>
      <c r="F35" s="5">
        <f>MAX(Hit!F35,Stand!F35,Double!F35)</f>
        <v/>
      </c>
      <c r="G35" s="5">
        <f>MAX(Hit!G35,Stand!G35,Double!G35)</f>
        <v/>
      </c>
      <c r="H35" s="5">
        <f>MAX(Hit!H35,Stand!H35,Double!H35)</f>
        <v/>
      </c>
      <c r="I35" s="5">
        <f>MAX(Hit!I35,Stand!I35,Double!I35)</f>
        <v/>
      </c>
      <c r="J35" s="5">
        <f>MAX(Hit!J35,Stand!J35,Double!J35)</f>
        <v/>
      </c>
      <c r="K35" s="5">
        <f>MAX(Hit!K35,Stand!K35,Double!K35)</f>
        <v/>
      </c>
      <c r="M35" s="5" t="n">
        <v>15</v>
      </c>
      <c r="N35" s="2">
        <f>IF(B35=Stand!B35,"S",IF(B35=Double!B35,"D","H"))</f>
        <v/>
      </c>
      <c r="O35" s="2">
        <f>IF(C35=Stand!C35,"S",IF(C35=Double!C35,"D","H"))</f>
        <v/>
      </c>
      <c r="P35" s="2">
        <f>IF(D35=Stand!D35,"S",IF(D35=Double!D35,"D","H"))</f>
        <v/>
      </c>
      <c r="Q35" s="2">
        <f>IF(E35=Stand!E35,"S",IF(E35=Double!E35,"D","H"))</f>
        <v/>
      </c>
      <c r="R35" s="2">
        <f>IF(F35=Stand!F35,"S",IF(F35=Double!F35,"D","H"))</f>
        <v/>
      </c>
      <c r="S35" s="2">
        <f>IF(G35=Stand!G35,"S",IF(G35=Double!G35,"D","H"))</f>
        <v/>
      </c>
      <c r="T35" s="2">
        <f>IF(H35=Stand!H35,"S",IF(H35=Double!H35,"D","H"))</f>
        <v/>
      </c>
      <c r="U35" s="2">
        <f>IF(I35=Stand!I35,"S",IF(I35=Double!I35,"D","H"))</f>
        <v/>
      </c>
      <c r="V35" s="2">
        <f>IF(J35=Stand!J35,"S",IF(J35=Double!J35,"D","H"))</f>
        <v/>
      </c>
      <c r="W35" s="2">
        <f>IF(K35=Stand!K35,"S",IF(K35=Double!K35,"D","H"))</f>
        <v/>
      </c>
    </row>
    <row r="36" ht="12.5" customHeight="1" s="12">
      <c r="A36" s="5" t="n">
        <v>16</v>
      </c>
      <c r="B36" s="5">
        <f>MAX(Hit!B36,Stand!B36,Double!B36)</f>
        <v/>
      </c>
      <c r="C36" s="5">
        <f>MAX(Hit!C36,Stand!C36,Double!C36)</f>
        <v/>
      </c>
      <c r="D36" s="5">
        <f>MAX(Hit!D36,Stand!D36,Double!D36)</f>
        <v/>
      </c>
      <c r="E36" s="5">
        <f>MAX(Hit!E36,Stand!E36,Double!E36)</f>
        <v/>
      </c>
      <c r="F36" s="5">
        <f>MAX(Hit!F36,Stand!F36,Double!F36)</f>
        <v/>
      </c>
      <c r="G36" s="5">
        <f>MAX(Hit!G36,Stand!G36,Double!G36)</f>
        <v/>
      </c>
      <c r="H36" s="5">
        <f>MAX(Hit!H36,Stand!H36,Double!H36)</f>
        <v/>
      </c>
      <c r="I36" s="5">
        <f>MAX(Hit!I36,Stand!I36,Double!I36)</f>
        <v/>
      </c>
      <c r="J36" s="5">
        <f>MAX(Hit!J36,Stand!J36,Double!J36)</f>
        <v/>
      </c>
      <c r="K36" s="5">
        <f>MAX(Hit!K36,Stand!K36,Double!K36)</f>
        <v/>
      </c>
      <c r="M36" s="5" t="n">
        <v>16</v>
      </c>
      <c r="N36" s="2">
        <f>IF(B36=Stand!B36,"S",IF(B36=Double!B36,"D","H"))</f>
        <v/>
      </c>
      <c r="O36" s="2">
        <f>IF(C36=Stand!C36,"S",IF(C36=Double!C36,"D","H"))</f>
        <v/>
      </c>
      <c r="P36" s="2">
        <f>IF(D36=Stand!D36,"S",IF(D36=Double!D36,"D","H"))</f>
        <v/>
      </c>
      <c r="Q36" s="2">
        <f>IF(E36=Stand!E36,"S",IF(E36=Double!E36,"D","H"))</f>
        <v/>
      </c>
      <c r="R36" s="2">
        <f>IF(F36=Stand!F36,"S",IF(F36=Double!F36,"D","H"))</f>
        <v/>
      </c>
      <c r="S36" s="2">
        <f>IF(G36=Stand!G36,"S",IF(G36=Double!G36,"D","H"))</f>
        <v/>
      </c>
      <c r="T36" s="2">
        <f>IF(H36=Stand!H36,"S",IF(H36=Double!H36,"D","H"))</f>
        <v/>
      </c>
      <c r="U36" s="2">
        <f>IF(I36=Stand!I36,"S",IF(I36=Double!I36,"D","H"))</f>
        <v/>
      </c>
      <c r="V36" s="2">
        <f>IF(J36=Stand!J36,"S",IF(J36=Double!J36,"D","H"))</f>
        <v/>
      </c>
      <c r="W36" s="2">
        <f>IF(K36=Stand!K36,"S",IF(K36=Double!K36,"D","H"))</f>
        <v/>
      </c>
    </row>
    <row r="37" ht="12.5" customHeight="1" s="12">
      <c r="A37" s="5" t="n">
        <v>17</v>
      </c>
      <c r="B37" s="5">
        <f>MAX(Hit!B37,Stand!B37,Double!B37)</f>
        <v/>
      </c>
      <c r="C37" s="5">
        <f>MAX(Hit!C37,Stand!C37,Double!C37)</f>
        <v/>
      </c>
      <c r="D37" s="5">
        <f>MAX(Hit!D37,Stand!D37,Double!D37)</f>
        <v/>
      </c>
      <c r="E37" s="5">
        <f>MAX(Hit!E37,Stand!E37,Double!E37)</f>
        <v/>
      </c>
      <c r="F37" s="5">
        <f>MAX(Hit!F37,Stand!F37,Double!F37)</f>
        <v/>
      </c>
      <c r="G37" s="5">
        <f>MAX(Hit!G37,Stand!G37,Double!G37)</f>
        <v/>
      </c>
      <c r="H37" s="5">
        <f>MAX(Hit!H37,Stand!H37,Double!H37)</f>
        <v/>
      </c>
      <c r="I37" s="5">
        <f>MAX(Hit!I37,Stand!I37,Double!I37)</f>
        <v/>
      </c>
      <c r="J37" s="5">
        <f>MAX(Hit!J37,Stand!J37,Double!J37)</f>
        <v/>
      </c>
      <c r="K37" s="5">
        <f>MAX(Hit!K37,Stand!K37,Double!K37)</f>
        <v/>
      </c>
      <c r="M37" s="5" t="n">
        <v>17</v>
      </c>
      <c r="N37" s="2">
        <f>IF(B37=Stand!B37,"S",IF(B37=Double!B37,"D","H"))</f>
        <v/>
      </c>
      <c r="O37" s="2">
        <f>IF(C37=Stand!C37,"S",IF(C37=Double!C37,"D","H"))</f>
        <v/>
      </c>
      <c r="P37" s="2">
        <f>IF(D37=Stand!D37,"S",IF(D37=Double!D37,"D","H"))</f>
        <v/>
      </c>
      <c r="Q37" s="2">
        <f>IF(E37=Stand!E37,"S",IF(E37=Double!E37,"D","H"))</f>
        <v/>
      </c>
      <c r="R37" s="2">
        <f>IF(F37=Stand!F37,"S",IF(F37=Double!F37,"D","H"))</f>
        <v/>
      </c>
      <c r="S37" s="2">
        <f>IF(G37=Stand!G37,"S",IF(G37=Double!G37,"D","H"))</f>
        <v/>
      </c>
      <c r="T37" s="2">
        <f>IF(H37=Stand!H37,"S",IF(H37=Double!H37,"D","H"))</f>
        <v/>
      </c>
      <c r="U37" s="2">
        <f>IF(I37=Stand!I37,"S",IF(I37=Double!I37,"D","H"))</f>
        <v/>
      </c>
      <c r="V37" s="2">
        <f>IF(J37=Stand!J37,"S",IF(J37=Double!J37,"D","H"))</f>
        <v/>
      </c>
      <c r="W37" s="2">
        <f>IF(K37=Stand!K37,"S",IF(K37=Double!K37,"D","H"))</f>
        <v/>
      </c>
    </row>
    <row r="38" ht="12.5" customHeight="1" s="12">
      <c r="A38" s="5" t="n">
        <v>18</v>
      </c>
      <c r="B38" s="5">
        <f>MAX(Hit!B38,Stand!B38,Double!B38)</f>
        <v/>
      </c>
      <c r="C38" s="5">
        <f>MAX(Hit!C38,Stand!C38,Double!C38)</f>
        <v/>
      </c>
      <c r="D38" s="5">
        <f>MAX(Hit!D38,Stand!D38,Double!D38)</f>
        <v/>
      </c>
      <c r="E38" s="5">
        <f>MAX(Hit!E38,Stand!E38,Double!E38)</f>
        <v/>
      </c>
      <c r="F38" s="5">
        <f>MAX(Hit!F38,Stand!F38,Double!F38)</f>
        <v/>
      </c>
      <c r="G38" s="5">
        <f>MAX(Hit!G38,Stand!G38,Double!G38)</f>
        <v/>
      </c>
      <c r="H38" s="5">
        <f>MAX(Hit!H38,Stand!H38,Double!H38)</f>
        <v/>
      </c>
      <c r="I38" s="5">
        <f>MAX(Hit!I38,Stand!I38,Double!I38)</f>
        <v/>
      </c>
      <c r="J38" s="5">
        <f>MAX(Hit!J38,Stand!J38,Double!J38)</f>
        <v/>
      </c>
      <c r="K38" s="5">
        <f>MAX(Hit!K38,Stand!K38,Double!K38)</f>
        <v/>
      </c>
      <c r="M38" s="5" t="n">
        <v>18</v>
      </c>
      <c r="N38" s="2">
        <f>IF(B38=Stand!B38,"S",IF(B38=Double!B38,"D","H"))</f>
        <v/>
      </c>
      <c r="O38" s="2">
        <f>IF(C38=Stand!C38,"S",IF(C38=Double!C38,"D","H"))</f>
        <v/>
      </c>
      <c r="P38" s="2">
        <f>IF(D38=Stand!D38,"S",IF(D38=Double!D38,"D","H"))</f>
        <v/>
      </c>
      <c r="Q38" s="2">
        <f>IF(E38=Stand!E38,"S",IF(E38=Double!E38,"D","H"))</f>
        <v/>
      </c>
      <c r="R38" s="2">
        <f>IF(F38=Stand!F38,"S",IF(F38=Double!F38,"D","H"))</f>
        <v/>
      </c>
      <c r="S38" s="2">
        <f>IF(G38=Stand!G38,"S",IF(G38=Double!G38,"D","H"))</f>
        <v/>
      </c>
      <c r="T38" s="2">
        <f>IF(H38=Stand!H38,"S",IF(H38=Double!H38,"D","H"))</f>
        <v/>
      </c>
      <c r="U38" s="2">
        <f>IF(I38=Stand!I38,"S",IF(I38=Double!I38,"D","H"))</f>
        <v/>
      </c>
      <c r="V38" s="2">
        <f>IF(J38=Stand!J38,"S",IF(J38=Double!J38,"D","H"))</f>
        <v/>
      </c>
      <c r="W38" s="2">
        <f>IF(K38=Stand!K38,"S",IF(K38=Double!K38,"D","H"))</f>
        <v/>
      </c>
    </row>
    <row r="39" ht="12.5" customHeight="1" s="12">
      <c r="A39" s="5" t="n">
        <v>19</v>
      </c>
      <c r="B39" s="5">
        <f>MAX(Hit!B39,Stand!B39,Double!B39)</f>
        <v/>
      </c>
      <c r="C39" s="5">
        <f>MAX(Hit!C39,Stand!C39,Double!C39)</f>
        <v/>
      </c>
      <c r="D39" s="5">
        <f>MAX(Hit!D39,Stand!D39,Double!D39)</f>
        <v/>
      </c>
      <c r="E39" s="5">
        <f>MAX(Hit!E39,Stand!E39,Double!E39)</f>
        <v/>
      </c>
      <c r="F39" s="5">
        <f>MAX(Hit!F39,Stand!F39,Double!F39)</f>
        <v/>
      </c>
      <c r="G39" s="5">
        <f>MAX(Hit!G39,Stand!G39,Double!G39)</f>
        <v/>
      </c>
      <c r="H39" s="5">
        <f>MAX(Hit!H39,Stand!H39,Double!H39)</f>
        <v/>
      </c>
      <c r="I39" s="5">
        <f>MAX(Hit!I39,Stand!I39,Double!I39)</f>
        <v/>
      </c>
      <c r="J39" s="5">
        <f>MAX(Hit!J39,Stand!J39,Double!J39)</f>
        <v/>
      </c>
      <c r="K39" s="5">
        <f>MAX(Hit!K39,Stand!K39,Double!K39)</f>
        <v/>
      </c>
      <c r="M39" s="5" t="n">
        <v>19</v>
      </c>
      <c r="N39" s="2">
        <f>IF(B39=Stand!B39,"S",IF(B39=Double!B39,"D","H"))</f>
        <v/>
      </c>
      <c r="O39" s="2">
        <f>IF(C39=Stand!C39,"S",IF(C39=Double!C39,"D","H"))</f>
        <v/>
      </c>
      <c r="P39" s="2">
        <f>IF(D39=Stand!D39,"S",IF(D39=Double!D39,"D","H"))</f>
        <v/>
      </c>
      <c r="Q39" s="2">
        <f>IF(E39=Stand!E39,"S",IF(E39=Double!E39,"D","H"))</f>
        <v/>
      </c>
      <c r="R39" s="2">
        <f>IF(F39=Stand!F39,"S",IF(F39=Double!F39,"D","H"))</f>
        <v/>
      </c>
      <c r="S39" s="2">
        <f>IF(G39=Stand!G39,"S",IF(G39=Double!G39,"D","H"))</f>
        <v/>
      </c>
      <c r="T39" s="2">
        <f>IF(H39=Stand!H39,"S",IF(H39=Double!H39,"D","H"))</f>
        <v/>
      </c>
      <c r="U39" s="2">
        <f>IF(I39=Stand!I39,"S",IF(I39=Double!I39,"D","H"))</f>
        <v/>
      </c>
      <c r="V39" s="2">
        <f>IF(J39=Stand!J39,"S",IF(J39=Double!J39,"D","H"))</f>
        <v/>
      </c>
      <c r="W39" s="2">
        <f>IF(K39=Stand!K39,"S",IF(K39=Double!K39,"D","H"))</f>
        <v/>
      </c>
    </row>
    <row r="40" ht="12.5" customHeight="1" s="12">
      <c r="A40" s="5" t="n">
        <v>20</v>
      </c>
      <c r="B40" s="5">
        <f>MAX(Hit!B40,Stand!B40,Double!B40)</f>
        <v/>
      </c>
      <c r="C40" s="5">
        <f>MAX(Hit!C40,Stand!C40,Double!C40)</f>
        <v/>
      </c>
      <c r="D40" s="5">
        <f>MAX(Hit!D40,Stand!D40,Double!D40)</f>
        <v/>
      </c>
      <c r="E40" s="5">
        <f>MAX(Hit!E40,Stand!E40,Double!E40)</f>
        <v/>
      </c>
      <c r="F40" s="5">
        <f>MAX(Hit!F40,Stand!F40,Double!F40)</f>
        <v/>
      </c>
      <c r="G40" s="5">
        <f>MAX(Hit!G40,Stand!G40,Double!G40)</f>
        <v/>
      </c>
      <c r="H40" s="5">
        <f>MAX(Hit!H40,Stand!H40,Double!H40)</f>
        <v/>
      </c>
      <c r="I40" s="5">
        <f>MAX(Hit!I40,Stand!I40,Double!I40)</f>
        <v/>
      </c>
      <c r="J40" s="5">
        <f>MAX(Hit!J40,Stand!J40,Double!J40)</f>
        <v/>
      </c>
      <c r="K40" s="5">
        <f>MAX(Hit!K40,Stand!K40,Double!K40)</f>
        <v/>
      </c>
      <c r="M40" s="5" t="n">
        <v>20</v>
      </c>
      <c r="N40" s="2">
        <f>IF(B40=Stand!B40,"S",IF(B40=Double!B40,"D","H"))</f>
        <v/>
      </c>
      <c r="O40" s="2">
        <f>IF(C40=Stand!C40,"S",IF(C40=Double!C40,"D","H"))</f>
        <v/>
      </c>
      <c r="P40" s="2">
        <f>IF(D40=Stand!D40,"S",IF(D40=Double!D40,"D","H"))</f>
        <v/>
      </c>
      <c r="Q40" s="2">
        <f>IF(E40=Stand!E40,"S",IF(E40=Double!E40,"D","H"))</f>
        <v/>
      </c>
      <c r="R40" s="2">
        <f>IF(F40=Stand!F40,"S",IF(F40=Double!F40,"D","H"))</f>
        <v/>
      </c>
      <c r="S40" s="2">
        <f>IF(G40=Stand!G40,"S",IF(G40=Double!G40,"D","H"))</f>
        <v/>
      </c>
      <c r="T40" s="2">
        <f>IF(H40=Stand!H40,"S",IF(H40=Double!H40,"D","H"))</f>
        <v/>
      </c>
      <c r="U40" s="2">
        <f>IF(I40=Stand!I40,"S",IF(I40=Double!I40,"D","H"))</f>
        <v/>
      </c>
      <c r="V40" s="2">
        <f>IF(J40=Stand!J40,"S",IF(J40=Double!J40,"D","H"))</f>
        <v/>
      </c>
      <c r="W40" s="2">
        <f>IF(K40=Stand!K40,"S",IF(K40=Double!K40,"D","H"))</f>
        <v/>
      </c>
    </row>
    <row r="41" ht="12.5" customHeight="1" s="12">
      <c r="A41" s="5" t="n">
        <v>21</v>
      </c>
      <c r="B41" s="5">
        <f>MAX(Hit!B41,Stand!B41,Double!B41)</f>
        <v/>
      </c>
      <c r="C41" s="5">
        <f>MAX(Hit!C41,Stand!C41,Double!C41)</f>
        <v/>
      </c>
      <c r="D41" s="5">
        <f>MAX(Hit!D41,Stand!D41,Double!D41)</f>
        <v/>
      </c>
      <c r="E41" s="5">
        <f>MAX(Hit!E41,Stand!E41,Double!E41)</f>
        <v/>
      </c>
      <c r="F41" s="5">
        <f>MAX(Hit!F41,Stand!F41,Double!F41)</f>
        <v/>
      </c>
      <c r="G41" s="5">
        <f>MAX(Hit!G41,Stand!G41,Double!G41)</f>
        <v/>
      </c>
      <c r="H41" s="5">
        <f>MAX(Hit!H41,Stand!H41,Double!H41)</f>
        <v/>
      </c>
      <c r="I41" s="5">
        <f>MAX(Hit!I41,Stand!I41,Double!I41)</f>
        <v/>
      </c>
      <c r="J41" s="5">
        <f>MAX(Hit!J41,Stand!J41,Double!J41)</f>
        <v/>
      </c>
      <c r="K41" s="5">
        <f>MAX(Hit!K41,Stand!K41,Double!K41)</f>
        <v/>
      </c>
      <c r="M41" s="5" t="n">
        <v>21</v>
      </c>
      <c r="N41" s="2">
        <f>IF(B41=Stand!B41,"S",IF(B41=Double!B41,"D","H"))</f>
        <v/>
      </c>
      <c r="O41" s="2">
        <f>IF(C41=Stand!C41,"S",IF(C41=Double!C41,"D","H"))</f>
        <v/>
      </c>
      <c r="P41" s="2">
        <f>IF(D41=Stand!D41,"S",IF(D41=Double!D41,"D","H"))</f>
        <v/>
      </c>
      <c r="Q41" s="2">
        <f>IF(E41=Stand!E41,"S",IF(E41=Double!E41,"D","H"))</f>
        <v/>
      </c>
      <c r="R41" s="2">
        <f>IF(F41=Stand!F41,"S",IF(F41=Double!F41,"D","H"))</f>
        <v/>
      </c>
      <c r="S41" s="2">
        <f>IF(G41=Stand!G41,"S",IF(G41=Double!G41,"D","H"))</f>
        <v/>
      </c>
      <c r="T41" s="2">
        <f>IF(H41=Stand!H41,"S",IF(H41=Double!H41,"D","H"))</f>
        <v/>
      </c>
      <c r="U41" s="2">
        <f>IF(I41=Stand!I41,"S",IF(I41=Double!I41,"D","H"))</f>
        <v/>
      </c>
      <c r="V41" s="2">
        <f>IF(J41=Stand!J41,"S",IF(J41=Double!J41,"D","H"))</f>
        <v/>
      </c>
      <c r="W41" s="2">
        <f>IF(K41=Stand!K41,"S",IF(K41=Double!K41,"D","H"))</f>
        <v/>
      </c>
    </row>
    <row r="42" ht="12.5" customHeight="1" s="12">
      <c r="A42" s="5" t="n">
        <v>22</v>
      </c>
      <c r="B42" s="5">
        <f>MAX(Hit!B42,Stand!B42,Double!B42)</f>
        <v/>
      </c>
      <c r="C42" s="5">
        <f>MAX(Hit!C42,Stand!C42,Double!C42)</f>
        <v/>
      </c>
      <c r="D42" s="5">
        <f>MAX(Hit!D42,Stand!D42,Double!D42)</f>
        <v/>
      </c>
      <c r="E42" s="5">
        <f>MAX(Hit!E42,Stand!E42,Double!E42)</f>
        <v/>
      </c>
      <c r="F42" s="5">
        <f>MAX(Hit!F42,Stand!F42,Double!F42)</f>
        <v/>
      </c>
      <c r="G42" s="5">
        <f>MAX(Hit!G42,Stand!G42,Double!G42)</f>
        <v/>
      </c>
      <c r="H42" s="5">
        <f>MAX(Hit!H42,Stand!H42,Double!H42)</f>
        <v/>
      </c>
      <c r="I42" s="5">
        <f>MAX(Hit!I42,Stand!I42,Double!I42)</f>
        <v/>
      </c>
      <c r="J42" s="5">
        <f>MAX(Hit!J42,Stand!J42,Double!J42)</f>
        <v/>
      </c>
      <c r="K42" s="5">
        <f>MAX(Hit!K42,Stand!K42,Double!K42)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MAX(Hit!B43,Stand!B43,Double!B43)</f>
        <v/>
      </c>
      <c r="C43" s="5">
        <f>MAX(Hit!C43,Stand!C43,Double!C43)</f>
        <v/>
      </c>
      <c r="D43" s="5">
        <f>MAX(Hit!D43,Stand!D43,Double!D43)</f>
        <v/>
      </c>
      <c r="E43" s="5">
        <f>MAX(Hit!E43,Stand!E43,Double!E43)</f>
        <v/>
      </c>
      <c r="F43" s="5">
        <f>MAX(Hit!F43,Stand!F43,Double!F43)</f>
        <v/>
      </c>
      <c r="G43" s="5">
        <f>MAX(Hit!G43,Stand!G43,Double!G43)</f>
        <v/>
      </c>
      <c r="H43" s="5">
        <f>MAX(Hit!H43,Stand!H43,Double!H43)</f>
        <v/>
      </c>
      <c r="I43" s="5">
        <f>MAX(Hit!I43,Stand!I43,Double!I43)</f>
        <v/>
      </c>
      <c r="J43" s="5">
        <f>MAX(Hit!J43,Stand!J43,Double!J43)</f>
        <v/>
      </c>
      <c r="K43" s="5">
        <f>MAX(Hit!K43,Stand!K43,Double!K43)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MAX(Hit!B44,Stand!B44,Double!B44)</f>
        <v/>
      </c>
      <c r="C44" s="5">
        <f>MAX(Hit!C44,Stand!C44,Double!C44)</f>
        <v/>
      </c>
      <c r="D44" s="5">
        <f>MAX(Hit!D44,Stand!D44,Double!D44)</f>
        <v/>
      </c>
      <c r="E44" s="5">
        <f>MAX(Hit!E44,Stand!E44,Double!E44)</f>
        <v/>
      </c>
      <c r="F44" s="5">
        <f>MAX(Hit!F44,Stand!F44,Double!F44)</f>
        <v/>
      </c>
      <c r="G44" s="5">
        <f>MAX(Hit!G44,Stand!G44,Double!G44)</f>
        <v/>
      </c>
      <c r="H44" s="5">
        <f>MAX(Hit!H44,Stand!H44,Double!H44)</f>
        <v/>
      </c>
      <c r="I44" s="5">
        <f>MAX(Hit!I44,Stand!I44,Double!I44)</f>
        <v/>
      </c>
      <c r="J44" s="5">
        <f>MAX(Hit!J44,Stand!J44,Double!J44)</f>
        <v/>
      </c>
      <c r="K44" s="5">
        <f>MAX(Hit!K44,Stand!K44,Double!K44)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MAX(Hit!B45,Stand!B45,Double!B45)</f>
        <v/>
      </c>
      <c r="C45" s="5">
        <f>MAX(Hit!C45,Stand!C45,Double!C45)</f>
        <v/>
      </c>
      <c r="D45" s="5">
        <f>MAX(Hit!D45,Stand!D45,Double!D45)</f>
        <v/>
      </c>
      <c r="E45" s="5">
        <f>MAX(Hit!E45,Stand!E45,Double!E45)</f>
        <v/>
      </c>
      <c r="F45" s="5">
        <f>MAX(Hit!F45,Stand!F45,Double!F45)</f>
        <v/>
      </c>
      <c r="G45" s="5">
        <f>MAX(Hit!G45,Stand!G45,Double!G45)</f>
        <v/>
      </c>
      <c r="H45" s="5">
        <f>MAX(Hit!H45,Stand!H45,Double!H45)</f>
        <v/>
      </c>
      <c r="I45" s="5">
        <f>MAX(Hit!I45,Stand!I45,Double!I45)</f>
        <v/>
      </c>
      <c r="J45" s="5">
        <f>MAX(Hit!J45,Stand!J45,Double!J45)</f>
        <v/>
      </c>
      <c r="K45" s="5">
        <f>MAX(Hit!K45,Stand!K45,Double!K45)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MAX(Hit!B46,Stand!B46,Double!B46)</f>
        <v/>
      </c>
      <c r="C46" s="5">
        <f>MAX(Hit!C46,Stand!C46,Double!C46)</f>
        <v/>
      </c>
      <c r="D46" s="5">
        <f>MAX(Hit!D46,Stand!D46,Double!D46)</f>
        <v/>
      </c>
      <c r="E46" s="5">
        <f>MAX(Hit!E46,Stand!E46,Double!E46)</f>
        <v/>
      </c>
      <c r="F46" s="5">
        <f>MAX(Hit!F46,Stand!F46,Double!F46)</f>
        <v/>
      </c>
      <c r="G46" s="5">
        <f>MAX(Hit!G46,Stand!G46,Double!G46)</f>
        <v/>
      </c>
      <c r="H46" s="5">
        <f>MAX(Hit!H46,Stand!H46,Double!H46)</f>
        <v/>
      </c>
      <c r="I46" s="5">
        <f>MAX(Hit!I46,Stand!I46,Double!I46)</f>
        <v/>
      </c>
      <c r="J46" s="5">
        <f>MAX(Hit!J46,Stand!J46,Double!J46)</f>
        <v/>
      </c>
      <c r="K46" s="5">
        <f>MAX(Hit!K46,Stand!K46,Double!K46)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MAX(Hit!B47,Stand!B47,Double!B47)</f>
        <v/>
      </c>
      <c r="C47" s="5">
        <f>MAX(Hit!C47,Stand!C47,Double!C47)</f>
        <v/>
      </c>
      <c r="D47" s="5">
        <f>MAX(Hit!D47,Stand!D47,Double!D47)</f>
        <v/>
      </c>
      <c r="E47" s="5">
        <f>MAX(Hit!E47,Stand!E47,Double!E47)</f>
        <v/>
      </c>
      <c r="F47" s="5">
        <f>MAX(Hit!F47,Stand!F47,Double!F47)</f>
        <v/>
      </c>
      <c r="G47" s="5">
        <f>MAX(Hit!G47,Stand!G47,Double!G47)</f>
        <v/>
      </c>
      <c r="H47" s="5">
        <f>MAX(Hit!H47,Stand!H47,Double!H47)</f>
        <v/>
      </c>
      <c r="I47" s="5">
        <f>MAX(Hit!I47,Stand!I47,Double!I47)</f>
        <v/>
      </c>
      <c r="J47" s="5">
        <f>MAX(Hit!J47,Stand!J47,Double!J47)</f>
        <v/>
      </c>
      <c r="K47" s="5">
        <f>MAX(Hit!K47,Stand!K47,Double!K47)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MAX(Hit!B48,Stand!B48,Double!B48)</f>
        <v/>
      </c>
      <c r="C48" s="5">
        <f>MAX(Hit!C48,Stand!C48,Double!C48)</f>
        <v/>
      </c>
      <c r="D48" s="5">
        <f>MAX(Hit!D48,Stand!D48,Double!D48)</f>
        <v/>
      </c>
      <c r="E48" s="5">
        <f>MAX(Hit!E48,Stand!E48,Double!E48)</f>
        <v/>
      </c>
      <c r="F48" s="5">
        <f>MAX(Hit!F48,Stand!F48,Double!F48)</f>
        <v/>
      </c>
      <c r="G48" s="5">
        <f>MAX(Hit!G48,Stand!G48,Double!G48)</f>
        <v/>
      </c>
      <c r="H48" s="5">
        <f>MAX(Hit!H48,Stand!H48,Double!H48)</f>
        <v/>
      </c>
      <c r="I48" s="5">
        <f>MAX(Hit!I48,Stand!I48,Double!I48)</f>
        <v/>
      </c>
      <c r="J48" s="5">
        <f>MAX(Hit!J48,Stand!J48,Double!J48)</f>
        <v/>
      </c>
      <c r="K48" s="5">
        <f>MAX(Hit!K48,Stand!K48,Double!K48)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MAX(Hit!B49,Stand!B49,Double!B49)</f>
        <v/>
      </c>
      <c r="C49" s="5">
        <f>MAX(Hit!C49,Stand!C49,Double!C49)</f>
        <v/>
      </c>
      <c r="D49" s="5">
        <f>MAX(Hit!D49,Stand!D49,Double!D49)</f>
        <v/>
      </c>
      <c r="E49" s="5">
        <f>MAX(Hit!E49,Stand!E49,Double!E49)</f>
        <v/>
      </c>
      <c r="F49" s="5">
        <f>MAX(Hit!F49,Stand!F49,Double!F49)</f>
        <v/>
      </c>
      <c r="G49" s="5">
        <f>MAX(Hit!G49,Stand!G49,Double!G49)</f>
        <v/>
      </c>
      <c r="H49" s="5">
        <f>MAX(Hit!H49,Stand!H49,Double!H49)</f>
        <v/>
      </c>
      <c r="I49" s="5">
        <f>MAX(Hit!I49,Stand!I49,Double!I49)</f>
        <v/>
      </c>
      <c r="J49" s="5">
        <f>MAX(Hit!J49,Stand!J49,Double!J49)</f>
        <v/>
      </c>
      <c r="K49" s="5">
        <f>MAX(Hit!K49,Stand!K49,Double!K49)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MAX(Hit!B50,Stand!B50,Double!B50)</f>
        <v/>
      </c>
      <c r="C50" s="5">
        <f>MAX(Hit!C50,Stand!C50,Double!C50)</f>
        <v/>
      </c>
      <c r="D50" s="5">
        <f>MAX(Hit!D50,Stand!D50,Double!D50)</f>
        <v/>
      </c>
      <c r="E50" s="5">
        <f>MAX(Hit!E50,Stand!E50,Double!E50)</f>
        <v/>
      </c>
      <c r="F50" s="5">
        <f>MAX(Hit!F50,Stand!F50,Double!F50)</f>
        <v/>
      </c>
      <c r="G50" s="5">
        <f>MAX(Hit!G50,Stand!G50,Double!G50)</f>
        <v/>
      </c>
      <c r="H50" s="5">
        <f>MAX(Hit!H50,Stand!H50,Double!H50)</f>
        <v/>
      </c>
      <c r="I50" s="5">
        <f>MAX(Hit!I50,Stand!I50,Double!I50)</f>
        <v/>
      </c>
      <c r="J50" s="5">
        <f>MAX(Hit!J50,Stand!J50,Double!J50)</f>
        <v/>
      </c>
      <c r="K50" s="5">
        <f>MAX(Hit!K50,Stand!K50,Double!K50)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MAX(Hit!B51,Stand!B51,Double!B51)</f>
        <v/>
      </c>
      <c r="C51" s="5">
        <f>MAX(Hit!C51,Stand!C51,Double!C51)</f>
        <v/>
      </c>
      <c r="D51" s="5">
        <f>MAX(Hit!D51,Stand!D51,Double!D51)</f>
        <v/>
      </c>
      <c r="E51" s="5">
        <f>MAX(Hit!E51,Stand!E51,Double!E51)</f>
        <v/>
      </c>
      <c r="F51" s="5">
        <f>MAX(Hit!F51,Stand!F51,Double!F51)</f>
        <v/>
      </c>
      <c r="G51" s="5">
        <f>MAX(Hit!G51,Stand!G51,Double!G51)</f>
        <v/>
      </c>
      <c r="H51" s="5">
        <f>MAX(Hit!H51,Stand!H51,Double!H51)</f>
        <v/>
      </c>
      <c r="I51" s="5">
        <f>MAX(Hit!I51,Stand!I51,Double!I51)</f>
        <v/>
      </c>
      <c r="J51" s="5">
        <f>MAX(Hit!J51,Stand!J51,Double!J51)</f>
        <v/>
      </c>
      <c r="K51" s="5">
        <f>MAX(Hit!K51,Stand!K51,Double!K51)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 t="n">
        <v>-0.5</v>
      </c>
      <c r="C2" s="5" t="n">
        <v>-0.5</v>
      </c>
      <c r="D2" s="5" t="n">
        <v>-0.5</v>
      </c>
      <c r="E2" s="5" t="n">
        <v>-0.5</v>
      </c>
      <c r="F2" s="5" t="n">
        <v>-0.5</v>
      </c>
      <c r="G2" s="5" t="n">
        <v>-0.5</v>
      </c>
      <c r="H2" s="5" t="n">
        <v>-0.5</v>
      </c>
      <c r="I2" s="5" t="n">
        <v>-0.5</v>
      </c>
      <c r="J2" s="5" t="n">
        <v>-0.5</v>
      </c>
      <c r="K2" s="5" t="n">
        <v>-0.5</v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B14</f>
        <v/>
      </c>
      <c r="C15" s="5">
        <f>C14</f>
        <v/>
      </c>
      <c r="D15" s="5">
        <f>D14</f>
        <v/>
      </c>
      <c r="E15" s="5">
        <f>E14</f>
        <v/>
      </c>
      <c r="F15" s="5">
        <f>F14</f>
        <v/>
      </c>
      <c r="G15" s="5">
        <f>G14</f>
        <v/>
      </c>
      <c r="H15" s="5">
        <f>H14</f>
        <v/>
      </c>
      <c r="I15" s="5">
        <f>I14</f>
        <v/>
      </c>
      <c r="J15" s="5">
        <f>J14</f>
        <v/>
      </c>
      <c r="K15" s="5">
        <f>K14</f>
        <v/>
      </c>
    </row>
    <row r="16" ht="15.75" customHeight="1" s="12">
      <c r="A16" s="5" t="n">
        <v>18</v>
      </c>
      <c r="B16" s="5">
        <f>B15</f>
        <v/>
      </c>
      <c r="C16" s="5">
        <f>C15</f>
        <v/>
      </c>
      <c r="D16" s="5">
        <f>D15</f>
        <v/>
      </c>
      <c r="E16" s="5">
        <f>E15</f>
        <v/>
      </c>
      <c r="F16" s="5">
        <f>F15</f>
        <v/>
      </c>
      <c r="G16" s="5">
        <f>G15</f>
        <v/>
      </c>
      <c r="H16" s="5">
        <f>H15</f>
        <v/>
      </c>
      <c r="I16" s="5">
        <f>I15</f>
        <v/>
      </c>
      <c r="J16" s="5">
        <f>J15</f>
        <v/>
      </c>
      <c r="K16" s="5">
        <f>K15</f>
        <v/>
      </c>
    </row>
    <row r="17" ht="15.75" customHeight="1" s="12">
      <c r="A17" s="5" t="n">
        <v>19</v>
      </c>
      <c r="B17" s="5">
        <f>B16</f>
        <v/>
      </c>
      <c r="C17" s="5">
        <f>C16</f>
        <v/>
      </c>
      <c r="D17" s="5">
        <f>D16</f>
        <v/>
      </c>
      <c r="E17" s="5">
        <f>E16</f>
        <v/>
      </c>
      <c r="F17" s="5">
        <f>F16</f>
        <v/>
      </c>
      <c r="G17" s="5">
        <f>G16</f>
        <v/>
      </c>
      <c r="H17" s="5">
        <f>H16</f>
        <v/>
      </c>
      <c r="I17" s="5">
        <f>I16</f>
        <v/>
      </c>
      <c r="J17" s="5">
        <f>J16</f>
        <v/>
      </c>
      <c r="K17" s="5">
        <f>K16</f>
        <v/>
      </c>
    </row>
    <row r="18" ht="15.75" customHeight="1" s="12">
      <c r="A18" s="5" t="n">
        <v>20</v>
      </c>
      <c r="B18" s="5">
        <f>B17</f>
        <v/>
      </c>
      <c r="C18" s="5">
        <f>C17</f>
        <v/>
      </c>
      <c r="D18" s="5">
        <f>D17</f>
        <v/>
      </c>
      <c r="E18" s="5">
        <f>E17</f>
        <v/>
      </c>
      <c r="F18" s="5">
        <f>F17</f>
        <v/>
      </c>
      <c r="G18" s="5">
        <f>G17</f>
        <v/>
      </c>
      <c r="H18" s="5">
        <f>H17</f>
        <v/>
      </c>
      <c r="I18" s="5">
        <f>I17</f>
        <v/>
      </c>
      <c r="J18" s="5">
        <f>J17</f>
        <v/>
      </c>
      <c r="K18" s="5">
        <f>K17</f>
        <v/>
      </c>
    </row>
    <row r="19" ht="15.75" customHeight="1" s="12">
      <c r="A19" s="5" t="n">
        <v>21</v>
      </c>
      <c r="B19" s="5">
        <f>B18</f>
        <v/>
      </c>
      <c r="C19" s="5">
        <f>C18</f>
        <v/>
      </c>
      <c r="D19" s="5">
        <f>D18</f>
        <v/>
      </c>
      <c r="E19" s="5">
        <f>E18</f>
        <v/>
      </c>
      <c r="F19" s="5">
        <f>F18</f>
        <v/>
      </c>
      <c r="G19" s="5">
        <f>G18</f>
        <v/>
      </c>
      <c r="H19" s="5">
        <f>H18</f>
        <v/>
      </c>
      <c r="I19" s="5">
        <f>I18</f>
        <v/>
      </c>
      <c r="J19" s="5">
        <f>J18</f>
        <v/>
      </c>
      <c r="K19" s="5">
        <f>K18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453125" customWidth="1" style="12" min="13" max="13"/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2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MAX(Hit!B2,Stand!B2,Double!B2,Surrender!B2)</f>
        <v/>
      </c>
      <c r="C2" s="5">
        <f>MAX(Hit!C2,Stand!C2,Double!C2,Surrender!C2)</f>
        <v/>
      </c>
      <c r="D2" s="5">
        <f>MAX(Hit!D2,Stand!D2,Double!D2,Surrender!D2)</f>
        <v/>
      </c>
      <c r="E2" s="5">
        <f>MAX(Hit!E2,Stand!E2,Double!E2,Surrender!E2)</f>
        <v/>
      </c>
      <c r="F2" s="5">
        <f>MAX(Hit!F2,Stand!F2,Double!F2,Surrender!F2)</f>
        <v/>
      </c>
      <c r="G2" s="5">
        <f>MAX(Hit!G2,Stand!G2,Double!G2,Surrender!G2)</f>
        <v/>
      </c>
      <c r="H2" s="5">
        <f>MAX(Hit!H2,Stand!H2,Double!H2,Surrender!H2)</f>
        <v/>
      </c>
      <c r="I2" s="5">
        <f>MAX(Hit!I2,Stand!I2,Double!I2,Surrender!I2)</f>
        <v/>
      </c>
      <c r="J2" s="5">
        <f>MAX(Hit!J2,Stand!J2,Double!J2,Surrender!J2)</f>
        <v/>
      </c>
      <c r="K2" s="5">
        <f>MAX(Hit!K2,Stand!K2,Double!K2,Surrender!K2)</f>
        <v/>
      </c>
      <c r="M2" s="2" t="n">
        <v>4</v>
      </c>
      <c r="N2" s="2">
        <f>IF(B2=Stand!B2,"S",IF(B2=Double!B2,"D",IF(B2=Surrender!B2,"R","H")))</f>
        <v/>
      </c>
      <c r="O2" s="2">
        <f>IF(C2=Stand!C2,"S",IF(C2=Double!C2,"D",IF(C2=Surrender!C2,"R","H")))</f>
        <v/>
      </c>
      <c r="P2" s="2">
        <f>IF(D2=Stand!D2,"S",IF(D2=Double!D2,"D",IF(D2=Surrender!D2,"R","H")))</f>
        <v/>
      </c>
      <c r="Q2" s="2">
        <f>IF(E2=Stand!E2,"S",IF(E2=Double!E2,"D",IF(E2=Surrender!E2,"R","H")))</f>
        <v/>
      </c>
      <c r="R2" s="2">
        <f>IF(F2=Stand!F2,"S",IF(F2=Double!F2,"D",IF(F2=Surrender!F2,"R","H")))</f>
        <v/>
      </c>
      <c r="S2" s="2">
        <f>IF(G2=Stand!G2,"S",IF(G2=Double!G2,"D",IF(G2=Surrender!G2,"R","H")))</f>
        <v/>
      </c>
      <c r="T2" s="2">
        <f>IF(H2=Stand!H2,"S",IF(H2=Double!H2,"D",IF(H2=Surrender!H2,"R","H")))</f>
        <v/>
      </c>
      <c r="U2" s="2">
        <f>IF(I2=Stand!I2,"S",IF(I2=Double!I2,"D",IF(I2=Surrender!I2,"R","H")))</f>
        <v/>
      </c>
      <c r="V2" s="2">
        <f>IF(J2=Stand!J2,"S",IF(J2=Double!J2,"D",IF(J2=Surrender!J2,"R","H")))</f>
        <v/>
      </c>
      <c r="W2" s="2">
        <f>IF(K2=Stand!K2,"S",IF(K2=Double!K2,"D",IF(K2=Surrender!K2,"R","H")))</f>
        <v/>
      </c>
    </row>
    <row r="3" ht="15.75" customHeight="1" s="12">
      <c r="A3" s="5" t="n">
        <v>5</v>
      </c>
      <c r="B3" s="5">
        <f>MAX(Hit!B3,Stand!B3,Double!B3,Surrender!B3)</f>
        <v/>
      </c>
      <c r="C3" s="5">
        <f>MAX(Hit!C3,Stand!C3,Double!C3,Surrender!C3)</f>
        <v/>
      </c>
      <c r="D3" s="5">
        <f>MAX(Hit!D3,Stand!D3,Double!D3,Surrender!D3)</f>
        <v/>
      </c>
      <c r="E3" s="5">
        <f>MAX(Hit!E3,Stand!E3,Double!E3,Surrender!E3)</f>
        <v/>
      </c>
      <c r="F3" s="5">
        <f>MAX(Hit!F3,Stand!F3,Double!F3,Surrender!F3)</f>
        <v/>
      </c>
      <c r="G3" s="5">
        <f>MAX(Hit!G3,Stand!G3,Double!G3,Surrender!G3)</f>
        <v/>
      </c>
      <c r="H3" s="5">
        <f>MAX(Hit!H3,Stand!H3,Double!H3,Surrender!H3)</f>
        <v/>
      </c>
      <c r="I3" s="5">
        <f>MAX(Hit!I3,Stand!I3,Double!I3,Surrender!I3)</f>
        <v/>
      </c>
      <c r="J3" s="5">
        <f>MAX(Hit!J3,Stand!J3,Double!J3,Surrender!J3)</f>
        <v/>
      </c>
      <c r="K3" s="5">
        <f>MAX(Hit!K3,Stand!K3,Double!K3,Surrender!K3)</f>
        <v/>
      </c>
      <c r="M3" s="2" t="n">
        <v>5</v>
      </c>
      <c r="N3" s="2">
        <f>IF(B3=Stand!B3,"S",IF(B3=Double!B3,"D",IF(B3=Surrender!B3,"R","H")))</f>
        <v/>
      </c>
      <c r="O3" s="2">
        <f>IF(C3=Stand!C3,"S",IF(C3=Double!C3,"D",IF(C3=Surrender!C3,"R","H")))</f>
        <v/>
      </c>
      <c r="P3" s="2">
        <f>IF(D3=Stand!D3,"S",IF(D3=Double!D3,"D",IF(D3=Surrender!D3,"R","H")))</f>
        <v/>
      </c>
      <c r="Q3" s="2">
        <f>IF(E3=Stand!E3,"S",IF(E3=Double!E3,"D",IF(E3=Surrender!E3,"R","H")))</f>
        <v/>
      </c>
      <c r="R3" s="2">
        <f>IF(F3=Stand!F3,"S",IF(F3=Double!F3,"D",IF(F3=Surrender!F3,"R","H")))</f>
        <v/>
      </c>
      <c r="S3" s="2">
        <f>IF(G3=Stand!G3,"S",IF(G3=Double!G3,"D",IF(G3=Surrender!G3,"R","H")))</f>
        <v/>
      </c>
      <c r="T3" s="2">
        <f>IF(H3=Stand!H3,"S",IF(H3=Double!H3,"D",IF(H3=Surrender!H3,"R","H")))</f>
        <v/>
      </c>
      <c r="U3" s="2">
        <f>IF(I3=Stand!I3,"S",IF(I3=Double!I3,"D",IF(I3=Surrender!I3,"R","H")))</f>
        <v/>
      </c>
      <c r="V3" s="2">
        <f>IF(J3=Stand!J3,"S",IF(J3=Double!J3,"D",IF(J3=Surrender!J3,"R","H")))</f>
        <v/>
      </c>
      <c r="W3" s="2">
        <f>IF(K3=Stand!K3,"S",IF(K3=Double!K3,"D",IF(K3=Surrender!K3,"R","H")))</f>
        <v/>
      </c>
    </row>
    <row r="4" ht="15.75" customHeight="1" s="12">
      <c r="A4" s="5" t="n">
        <v>6</v>
      </c>
      <c r="B4" s="5">
        <f>MAX(Hit!B4,Stand!B4,Double!B4,Surrender!B4)</f>
        <v/>
      </c>
      <c r="C4" s="5">
        <f>MAX(Hit!C4,Stand!C4,Double!C4,Surrender!C4)</f>
        <v/>
      </c>
      <c r="D4" s="5">
        <f>MAX(Hit!D4,Stand!D4,Double!D4,Surrender!D4)</f>
        <v/>
      </c>
      <c r="E4" s="5">
        <f>MAX(Hit!E4,Stand!E4,Double!E4,Surrender!E4)</f>
        <v/>
      </c>
      <c r="F4" s="5">
        <f>MAX(Hit!F4,Stand!F4,Double!F4,Surrender!F4)</f>
        <v/>
      </c>
      <c r="G4" s="5">
        <f>MAX(Hit!G4,Stand!G4,Double!G4,Surrender!G4)</f>
        <v/>
      </c>
      <c r="H4" s="5">
        <f>MAX(Hit!H4,Stand!H4,Double!H4,Surrender!H4)</f>
        <v/>
      </c>
      <c r="I4" s="5">
        <f>MAX(Hit!I4,Stand!I4,Double!I4,Surrender!I4)</f>
        <v/>
      </c>
      <c r="J4" s="5">
        <f>MAX(Hit!J4,Stand!J4,Double!J4,Surrender!J4)</f>
        <v/>
      </c>
      <c r="K4" s="5">
        <f>MAX(Hit!K4,Stand!K4,Double!K4,Surrender!K4)</f>
        <v/>
      </c>
      <c r="M4" s="2" t="n">
        <v>6</v>
      </c>
      <c r="N4" s="2">
        <f>IF(B4=Stand!B4,"S",IF(B4=Double!B4,"D",IF(B4=Surrender!B4,"R","H")))</f>
        <v/>
      </c>
      <c r="O4" s="2">
        <f>IF(C4=Stand!C4,"S",IF(C4=Double!C4,"D",IF(C4=Surrender!C4,"R","H")))</f>
        <v/>
      </c>
      <c r="P4" s="2">
        <f>IF(D4=Stand!D4,"S",IF(D4=Double!D4,"D",IF(D4=Surrender!D4,"R","H")))</f>
        <v/>
      </c>
      <c r="Q4" s="2">
        <f>IF(E4=Stand!E4,"S",IF(E4=Double!E4,"D",IF(E4=Surrender!E4,"R","H")))</f>
        <v/>
      </c>
      <c r="R4" s="2">
        <f>IF(F4=Stand!F4,"S",IF(F4=Double!F4,"D",IF(F4=Surrender!F4,"R","H")))</f>
        <v/>
      </c>
      <c r="S4" s="2">
        <f>IF(G4=Stand!G4,"S",IF(G4=Double!G4,"D",IF(G4=Surrender!G4,"R","H")))</f>
        <v/>
      </c>
      <c r="T4" s="2">
        <f>IF(H4=Stand!H4,"S",IF(H4=Double!H4,"D",IF(H4=Surrender!H4,"R","H")))</f>
        <v/>
      </c>
      <c r="U4" s="2">
        <f>IF(I4=Stand!I4,"S",IF(I4=Double!I4,"D",IF(I4=Surrender!I4,"R","H")))</f>
        <v/>
      </c>
      <c r="V4" s="2">
        <f>IF(J4=Stand!J4,"S",IF(J4=Double!J4,"D",IF(J4=Surrender!J4,"R","H")))</f>
        <v/>
      </c>
      <c r="W4" s="2">
        <f>IF(K4=Stand!K4,"S",IF(K4=Double!K4,"D",IF(K4=Surrender!K4,"R","H")))</f>
        <v/>
      </c>
    </row>
    <row r="5" ht="15.75" customHeight="1" s="12">
      <c r="A5" s="5" t="n">
        <v>7</v>
      </c>
      <c r="B5" s="5">
        <f>MAX(Hit!B5,Stand!B5,Double!B5,Surrender!B5)</f>
        <v/>
      </c>
      <c r="C5" s="5">
        <f>MAX(Hit!C5,Stand!C5,Double!C5,Surrender!C5)</f>
        <v/>
      </c>
      <c r="D5" s="5">
        <f>MAX(Hit!D5,Stand!D5,Double!D5,Surrender!D5)</f>
        <v/>
      </c>
      <c r="E5" s="5">
        <f>MAX(Hit!E5,Stand!E5,Double!E5,Surrender!E5)</f>
        <v/>
      </c>
      <c r="F5" s="5">
        <f>MAX(Hit!F5,Stand!F5,Double!F5,Surrender!F5)</f>
        <v/>
      </c>
      <c r="G5" s="5">
        <f>MAX(Hit!G5,Stand!G5,Double!G5,Surrender!G5)</f>
        <v/>
      </c>
      <c r="H5" s="5">
        <f>MAX(Hit!H5,Stand!H5,Double!H5,Surrender!H5)</f>
        <v/>
      </c>
      <c r="I5" s="5">
        <f>MAX(Hit!I5,Stand!I5,Double!I5,Surrender!I5)</f>
        <v/>
      </c>
      <c r="J5" s="5">
        <f>MAX(Hit!J5,Stand!J5,Double!J5,Surrender!J5)</f>
        <v/>
      </c>
      <c r="K5" s="5">
        <f>MAX(Hit!K5,Stand!K5,Double!K5,Surrender!K5)</f>
        <v/>
      </c>
      <c r="M5" s="2" t="n">
        <v>7</v>
      </c>
      <c r="N5" s="2">
        <f>IF(B5=Stand!B5,"S",IF(B5=Double!B5,"D",IF(B5=Surrender!B5,"R","H")))</f>
        <v/>
      </c>
      <c r="O5" s="2">
        <f>IF(C5=Stand!C5,"S",IF(C5=Double!C5,"D",IF(C5=Surrender!C5,"R","H")))</f>
        <v/>
      </c>
      <c r="P5" s="2">
        <f>IF(D5=Stand!D5,"S",IF(D5=Double!D5,"D",IF(D5=Surrender!D5,"R","H")))</f>
        <v/>
      </c>
      <c r="Q5" s="2">
        <f>IF(E5=Stand!E5,"S",IF(E5=Double!E5,"D",IF(E5=Surrender!E5,"R","H")))</f>
        <v/>
      </c>
      <c r="R5" s="2">
        <f>IF(F5=Stand!F5,"S",IF(F5=Double!F5,"D",IF(F5=Surrender!F5,"R","H")))</f>
        <v/>
      </c>
      <c r="S5" s="2">
        <f>IF(G5=Stand!G5,"S",IF(G5=Double!G5,"D",IF(G5=Surrender!G5,"R","H")))</f>
        <v/>
      </c>
      <c r="T5" s="2">
        <f>IF(H5=Stand!H5,"S",IF(H5=Double!H5,"D",IF(H5=Surrender!H5,"R","H")))</f>
        <v/>
      </c>
      <c r="U5" s="2">
        <f>IF(I5=Stand!I5,"S",IF(I5=Double!I5,"D",IF(I5=Surrender!I5,"R","H")))</f>
        <v/>
      </c>
      <c r="V5" s="2">
        <f>IF(J5=Stand!J5,"S",IF(J5=Double!J5,"D",IF(J5=Surrender!J5,"R","H")))</f>
        <v/>
      </c>
      <c r="W5" s="2">
        <f>IF(K5=Stand!K5,"S",IF(K5=Double!K5,"D",IF(K5=Surrender!K5,"R","H")))</f>
        <v/>
      </c>
    </row>
    <row r="6" ht="15.75" customHeight="1" s="12">
      <c r="A6" s="5" t="n">
        <v>8</v>
      </c>
      <c r="B6" s="5">
        <f>MAX(Hit!B6,Stand!B6,Double!B6,Surrender!B6)</f>
        <v/>
      </c>
      <c r="C6" s="5">
        <f>MAX(Hit!C6,Stand!C6,Double!C6,Surrender!C6)</f>
        <v/>
      </c>
      <c r="D6" s="5">
        <f>MAX(Hit!D6,Stand!D6,Double!D6,Surrender!D6)</f>
        <v/>
      </c>
      <c r="E6" s="5">
        <f>MAX(Hit!E6,Stand!E6,Double!E6,Surrender!E6)</f>
        <v/>
      </c>
      <c r="F6" s="5">
        <f>MAX(Hit!F6,Stand!F6,Double!F6,Surrender!F6)</f>
        <v/>
      </c>
      <c r="G6" s="5">
        <f>MAX(Hit!G6,Stand!G6,Double!G6,Surrender!G6)</f>
        <v/>
      </c>
      <c r="H6" s="5">
        <f>MAX(Hit!H6,Stand!H6,Double!H6,Surrender!H6)</f>
        <v/>
      </c>
      <c r="I6" s="5">
        <f>MAX(Hit!I6,Stand!I6,Double!I6,Surrender!I6)</f>
        <v/>
      </c>
      <c r="J6" s="5">
        <f>MAX(Hit!J6,Stand!J6,Double!J6,Surrender!J6)</f>
        <v/>
      </c>
      <c r="K6" s="5">
        <f>MAX(Hit!K6,Stand!K6,Double!K6,Surrender!K6)</f>
        <v/>
      </c>
      <c r="M6" s="2" t="n">
        <v>8</v>
      </c>
      <c r="N6" s="2">
        <f>IF(B6=Stand!B6,"S",IF(B6=Double!B6,"D",IF(B6=Surrender!B6,"R","H")))</f>
        <v/>
      </c>
      <c r="O6" s="2">
        <f>IF(C6=Stand!C6,"S",IF(C6=Double!C6,"D",IF(C6=Surrender!C6,"R","H")))</f>
        <v/>
      </c>
      <c r="P6" s="2">
        <f>IF(D6=Stand!D6,"S",IF(D6=Double!D6,"D",IF(D6=Surrender!D6,"R","H")))</f>
        <v/>
      </c>
      <c r="Q6" s="2">
        <f>IF(E6=Stand!E6,"S",IF(E6=Double!E6,"D",IF(E6=Surrender!E6,"R","H")))</f>
        <v/>
      </c>
      <c r="R6" s="2">
        <f>IF(F6=Stand!F6,"S",IF(F6=Double!F6,"D",IF(F6=Surrender!F6,"R","H")))</f>
        <v/>
      </c>
      <c r="S6" s="2">
        <f>IF(G6=Stand!G6,"S",IF(G6=Double!G6,"D",IF(G6=Surrender!G6,"R","H")))</f>
        <v/>
      </c>
      <c r="T6" s="2">
        <f>IF(H6=Stand!H6,"S",IF(H6=Double!H6,"D",IF(H6=Surrender!H6,"R","H")))</f>
        <v/>
      </c>
      <c r="U6" s="2">
        <f>IF(I6=Stand!I6,"S",IF(I6=Double!I6,"D",IF(I6=Surrender!I6,"R","H")))</f>
        <v/>
      </c>
      <c r="V6" s="2">
        <f>IF(J6=Stand!J6,"S",IF(J6=Double!J6,"D",IF(J6=Surrender!J6,"R","H")))</f>
        <v/>
      </c>
      <c r="W6" s="2">
        <f>IF(K6=Stand!K6,"S",IF(K6=Double!K6,"D",IF(K6=Surrender!K6,"R","H")))</f>
        <v/>
      </c>
    </row>
    <row r="7" ht="15.75" customHeight="1" s="12">
      <c r="A7" s="5" t="n">
        <v>9</v>
      </c>
      <c r="B7" s="5">
        <f>MAX(Hit!B7,Stand!B7,Double!B7,Surrender!B7)</f>
        <v/>
      </c>
      <c r="C7" s="5">
        <f>MAX(Hit!C7,Stand!C7,Double!C7,Surrender!C7)</f>
        <v/>
      </c>
      <c r="D7" s="5">
        <f>MAX(Hit!D7,Stand!D7,Double!D7,Surrender!D7)</f>
        <v/>
      </c>
      <c r="E7" s="5">
        <f>MAX(Hit!E7,Stand!E7,Double!E7,Surrender!E7)</f>
        <v/>
      </c>
      <c r="F7" s="5">
        <f>MAX(Hit!F7,Stand!F7,Double!F7,Surrender!F7)</f>
        <v/>
      </c>
      <c r="G7" s="5">
        <f>MAX(Hit!G7,Stand!G7,Double!G7,Surrender!G7)</f>
        <v/>
      </c>
      <c r="H7" s="5">
        <f>MAX(Hit!H7,Stand!H7,Double!H7,Surrender!H7)</f>
        <v/>
      </c>
      <c r="I7" s="5">
        <f>MAX(Hit!I7,Stand!I7,Double!I7,Surrender!I7)</f>
        <v/>
      </c>
      <c r="J7" s="5">
        <f>MAX(Hit!J7,Stand!J7,Double!J7,Surrender!J7)</f>
        <v/>
      </c>
      <c r="K7" s="5">
        <f>MAX(Hit!K7,Stand!K7,Double!K7,Surrender!K7)</f>
        <v/>
      </c>
      <c r="M7" s="2" t="n">
        <v>9</v>
      </c>
      <c r="N7" s="2">
        <f>IF(B7=Stand!B7,"S",IF(B7=Double!B7,"D",IF(B7=Surrender!B7,"R","H")))</f>
        <v/>
      </c>
      <c r="O7" s="2">
        <f>IF(C7=Stand!C7,"S",IF(C7=Double!C7,"D",IF(C7=Surrender!C7,"R","H")))</f>
        <v/>
      </c>
      <c r="P7" s="2">
        <f>IF(D7=Stand!D7,"S",IF(D7=Double!D7,"D",IF(D7=Surrender!D7,"R","H")))</f>
        <v/>
      </c>
      <c r="Q7" s="2">
        <f>IF(E7=Stand!E7,"S",IF(E7=Double!E7,"D",IF(E7=Surrender!E7,"R","H")))</f>
        <v/>
      </c>
      <c r="R7" s="2">
        <f>IF(F7=Stand!F7,"S",IF(F7=Double!F7,"D",IF(F7=Surrender!F7,"R","H")))</f>
        <v/>
      </c>
      <c r="S7" s="2">
        <f>IF(G7=Stand!G7,"S",IF(G7=Double!G7,"D",IF(G7=Surrender!G7,"R","H")))</f>
        <v/>
      </c>
      <c r="T7" s="2">
        <f>IF(H7=Stand!H7,"S",IF(H7=Double!H7,"D",IF(H7=Surrender!H7,"R","H")))</f>
        <v/>
      </c>
      <c r="U7" s="2">
        <f>IF(I7=Stand!I7,"S",IF(I7=Double!I7,"D",IF(I7=Surrender!I7,"R","H")))</f>
        <v/>
      </c>
      <c r="V7" s="2">
        <f>IF(J7=Stand!J7,"S",IF(J7=Double!J7,"D",IF(J7=Surrender!J7,"R","H")))</f>
        <v/>
      </c>
      <c r="W7" s="2">
        <f>IF(K7=Stand!K7,"S",IF(K7=Double!K7,"D",IF(K7=Surrender!K7,"R","H")))</f>
        <v/>
      </c>
    </row>
    <row r="8" ht="15.75" customHeight="1" s="12">
      <c r="A8" s="5" t="n">
        <v>10</v>
      </c>
      <c r="B8" s="5">
        <f>MAX(Hit!B8,Stand!B8,Double!B8,Surrender!B8)</f>
        <v/>
      </c>
      <c r="C8" s="5">
        <f>MAX(Hit!C8,Stand!C8,Double!C8,Surrender!C8)</f>
        <v/>
      </c>
      <c r="D8" s="5">
        <f>MAX(Hit!D8,Stand!D8,Double!D8,Surrender!D8)</f>
        <v/>
      </c>
      <c r="E8" s="5">
        <f>MAX(Hit!E8,Stand!E8,Double!E8,Surrender!E8)</f>
        <v/>
      </c>
      <c r="F8" s="5">
        <f>MAX(Hit!F8,Stand!F8,Double!F8,Surrender!F8)</f>
        <v/>
      </c>
      <c r="G8" s="5">
        <f>MAX(Hit!G8,Stand!G8,Double!G8,Surrender!G8)</f>
        <v/>
      </c>
      <c r="H8" s="5">
        <f>MAX(Hit!H8,Stand!H8,Double!H8,Surrender!H8)</f>
        <v/>
      </c>
      <c r="I8" s="5">
        <f>MAX(Hit!I8,Stand!I8,Double!I8,Surrender!I8)</f>
        <v/>
      </c>
      <c r="J8" s="5">
        <f>MAX(Hit!J8,Stand!J8,Double!J8,Surrender!J8)</f>
        <v/>
      </c>
      <c r="K8" s="5">
        <f>MAX(Hit!K8,Stand!K8,Double!K8,Surrender!K8)</f>
        <v/>
      </c>
      <c r="M8" s="2" t="n">
        <v>10</v>
      </c>
      <c r="N8" s="2">
        <f>IF(B8=Stand!B8,"S",IF(B8=Double!B8,"D",IF(B8=Surrender!B8,"R","H")))</f>
        <v/>
      </c>
      <c r="O8" s="2">
        <f>IF(C8=Stand!C8,"S",IF(C8=Double!C8,"D",IF(C8=Surrender!C8,"R","H")))</f>
        <v/>
      </c>
      <c r="P8" s="2">
        <f>IF(D8=Stand!D8,"S",IF(D8=Double!D8,"D",IF(D8=Surrender!D8,"R","H")))</f>
        <v/>
      </c>
      <c r="Q8" s="2">
        <f>IF(E8=Stand!E8,"S",IF(E8=Double!E8,"D",IF(E8=Surrender!E8,"R","H")))</f>
        <v/>
      </c>
      <c r="R8" s="2">
        <f>IF(F8=Stand!F8,"S",IF(F8=Double!F8,"D",IF(F8=Surrender!F8,"R","H")))</f>
        <v/>
      </c>
      <c r="S8" s="2">
        <f>IF(G8=Stand!G8,"S",IF(G8=Double!G8,"D",IF(G8=Surrender!G8,"R","H")))</f>
        <v/>
      </c>
      <c r="T8" s="2">
        <f>IF(H8=Stand!H8,"S",IF(H8=Double!H8,"D",IF(H8=Surrender!H8,"R","H")))</f>
        <v/>
      </c>
      <c r="U8" s="2">
        <f>IF(I8=Stand!I8,"S",IF(I8=Double!I8,"D",IF(I8=Surrender!I8,"R","H")))</f>
        <v/>
      </c>
      <c r="V8" s="2">
        <f>IF(J8=Stand!J8,"S",IF(J8=Double!J8,"D",IF(J8=Surrender!J8,"R","H")))</f>
        <v/>
      </c>
      <c r="W8" s="2">
        <f>IF(K8=Stand!K8,"S",IF(K8=Double!K8,"D",IF(K8=Surrender!K8,"R","H")))</f>
        <v/>
      </c>
    </row>
    <row r="9" ht="15.75" customHeight="1" s="12">
      <c r="A9" s="5" t="n">
        <v>11</v>
      </c>
      <c r="B9" s="5">
        <f>MAX(Hit!B9,Stand!B9,Double!B9,Surrender!B9)</f>
        <v/>
      </c>
      <c r="C9" s="5">
        <f>MAX(Hit!C9,Stand!C9,Double!C9,Surrender!C9)</f>
        <v/>
      </c>
      <c r="D9" s="5">
        <f>MAX(Hit!D9,Stand!D9,Double!D9,Surrender!D9)</f>
        <v/>
      </c>
      <c r="E9" s="5">
        <f>MAX(Hit!E9,Stand!E9,Double!E9,Surrender!E9)</f>
        <v/>
      </c>
      <c r="F9" s="5">
        <f>MAX(Hit!F9,Stand!F9,Double!F9,Surrender!F9)</f>
        <v/>
      </c>
      <c r="G9" s="5">
        <f>MAX(Hit!G9,Stand!G9,Double!G9,Surrender!G9)</f>
        <v/>
      </c>
      <c r="H9" s="5">
        <f>MAX(Hit!H9,Stand!H9,Double!H9,Surrender!H9)</f>
        <v/>
      </c>
      <c r="I9" s="5">
        <f>MAX(Hit!I9,Stand!I9,Double!I9,Surrender!I9)</f>
        <v/>
      </c>
      <c r="J9" s="5">
        <f>MAX(Hit!J9,Stand!J9,Double!J9,Surrender!J9)</f>
        <v/>
      </c>
      <c r="K9" s="5">
        <f>MAX(Hit!K9,Stand!K9,Double!K9,Surrender!K9)</f>
        <v/>
      </c>
      <c r="M9" s="2" t="n">
        <v>11</v>
      </c>
      <c r="N9" s="2">
        <f>IF(B9=Stand!B9,"S",IF(B9=Double!B9,"D",IF(B9=Surrender!B9,"R","H")))</f>
        <v/>
      </c>
      <c r="O9" s="2">
        <f>IF(C9=Stand!C9,"S",IF(C9=Double!C9,"D",IF(C9=Surrender!C9,"R","H")))</f>
        <v/>
      </c>
      <c r="P9" s="2">
        <f>IF(D9=Stand!D9,"S",IF(D9=Double!D9,"D",IF(D9=Surrender!D9,"R","H")))</f>
        <v/>
      </c>
      <c r="Q9" s="2">
        <f>IF(E9=Stand!E9,"S",IF(E9=Double!E9,"D",IF(E9=Surrender!E9,"R","H")))</f>
        <v/>
      </c>
      <c r="R9" s="2">
        <f>IF(F9=Stand!F9,"S",IF(F9=Double!F9,"D",IF(F9=Surrender!F9,"R","H")))</f>
        <v/>
      </c>
      <c r="S9" s="2">
        <f>IF(G9=Stand!G9,"S",IF(G9=Double!G9,"D",IF(G9=Surrender!G9,"R","H")))</f>
        <v/>
      </c>
      <c r="T9" s="2">
        <f>IF(H9=Stand!H9,"S",IF(H9=Double!H9,"D",IF(H9=Surrender!H9,"R","H")))</f>
        <v/>
      </c>
      <c r="U9" s="2">
        <f>IF(I9=Stand!I9,"S",IF(I9=Double!I9,"D",IF(I9=Surrender!I9,"R","H")))</f>
        <v/>
      </c>
      <c r="V9" s="2">
        <f>IF(J9=Stand!J9,"S",IF(J9=Double!J9,"D",IF(J9=Surrender!J9,"R","H")))</f>
        <v/>
      </c>
      <c r="W9" s="2">
        <f>IF(K9=Stand!K9,"S",IF(K9=Double!K9,"D",IF(K9=Surrender!K9,"R","H")))</f>
        <v/>
      </c>
    </row>
    <row r="10" ht="15.75" customHeight="1" s="12">
      <c r="A10" s="5" t="n">
        <v>12</v>
      </c>
      <c r="B10" s="5">
        <f>MAX(Hit!B10,Stand!B10,Double!B10,Surrender!B10)</f>
        <v/>
      </c>
      <c r="C10" s="5">
        <f>MAX(Hit!C10,Stand!C10,Double!C10,Surrender!C10)</f>
        <v/>
      </c>
      <c r="D10" s="5">
        <f>MAX(Hit!D10,Stand!D10,Double!D10,Surrender!D10)</f>
        <v/>
      </c>
      <c r="E10" s="5">
        <f>MAX(Hit!E10,Stand!E10,Double!E10,Surrender!E10)</f>
        <v/>
      </c>
      <c r="F10" s="5">
        <f>MAX(Hit!F10,Stand!F10,Double!F10,Surrender!F10)</f>
        <v/>
      </c>
      <c r="G10" s="5">
        <f>MAX(Hit!G10,Stand!G10,Double!G10,Surrender!G10)</f>
        <v/>
      </c>
      <c r="H10" s="5">
        <f>MAX(Hit!H10,Stand!H10,Double!H10,Surrender!H10)</f>
        <v/>
      </c>
      <c r="I10" s="5">
        <f>MAX(Hit!I10,Stand!I10,Double!I10,Surrender!I10)</f>
        <v/>
      </c>
      <c r="J10" s="5">
        <f>MAX(Hit!J10,Stand!J10,Double!J10,Surrender!J10)</f>
        <v/>
      </c>
      <c r="K10" s="5">
        <f>MAX(Hit!K10,Stand!K10,Double!K10,Surrender!K10)</f>
        <v/>
      </c>
      <c r="M10" s="2" t="n">
        <v>12</v>
      </c>
      <c r="N10" s="2">
        <f>IF(B10=Stand!B10,"S",IF(B10=Double!B10,"D",IF(B10=Surrender!B10,"R","H")))</f>
        <v/>
      </c>
      <c r="O10" s="2">
        <f>IF(C10=Stand!C10,"S",IF(C10=Double!C10,"D",IF(C10=Surrender!C10,"R","H")))</f>
        <v/>
      </c>
      <c r="P10" s="2">
        <f>IF(D10=Stand!D10,"S",IF(D10=Double!D10,"D",IF(D10=Surrender!D10,"R","H")))</f>
        <v/>
      </c>
      <c r="Q10" s="2">
        <f>IF(E10=Stand!E10,"S",IF(E10=Double!E10,"D",IF(E10=Surrender!E10,"R","H")))</f>
        <v/>
      </c>
      <c r="R10" s="2">
        <f>IF(F10=Stand!F10,"S",IF(F10=Double!F10,"D",IF(F10=Surrender!F10,"R","H")))</f>
        <v/>
      </c>
      <c r="S10" s="2">
        <f>IF(G10=Stand!G10,"S",IF(G10=Double!G10,"D",IF(G10=Surrender!G10,"R","H")))</f>
        <v/>
      </c>
      <c r="T10" s="2">
        <f>IF(H10=Stand!H10,"S",IF(H10=Double!H10,"D",IF(H10=Surrender!H10,"R","H")))</f>
        <v/>
      </c>
      <c r="U10" s="2">
        <f>IF(I10=Stand!I10,"S",IF(I10=Double!I10,"D",IF(I10=Surrender!I10,"R","H")))</f>
        <v/>
      </c>
      <c r="V10" s="2">
        <f>IF(J10=Stand!J10,"S",IF(J10=Double!J10,"D",IF(J10=Surrender!J10,"R","H")))</f>
        <v/>
      </c>
      <c r="W10" s="2">
        <f>IF(K10=Stand!K10,"S",IF(K10=Double!K10,"D",IF(K10=Surrender!K10,"R","H")))</f>
        <v/>
      </c>
    </row>
    <row r="11" ht="15.75" customHeight="1" s="12">
      <c r="A11" s="5" t="n">
        <v>13</v>
      </c>
      <c r="B11" s="5">
        <f>MAX(Hit!B11,Stand!B11,Double!B11,Surrender!B11)</f>
        <v/>
      </c>
      <c r="C11" s="5">
        <f>MAX(Hit!C11,Stand!C11,Double!C11,Surrender!C11)</f>
        <v/>
      </c>
      <c r="D11" s="5">
        <f>MAX(Hit!D11,Stand!D11,Double!D11,Surrender!D11)</f>
        <v/>
      </c>
      <c r="E11" s="5">
        <f>MAX(Hit!E11,Stand!E11,Double!E11,Surrender!E11)</f>
        <v/>
      </c>
      <c r="F11" s="5">
        <f>MAX(Hit!F11,Stand!F11,Double!F11,Surrender!F11)</f>
        <v/>
      </c>
      <c r="G11" s="5">
        <f>MAX(Hit!G11,Stand!G11,Double!G11,Surrender!G11)</f>
        <v/>
      </c>
      <c r="H11" s="5">
        <f>MAX(Hit!H11,Stand!H11,Double!H11,Surrender!H11)</f>
        <v/>
      </c>
      <c r="I11" s="5">
        <f>MAX(Hit!I11,Stand!I11,Double!I11,Surrender!I11)</f>
        <v/>
      </c>
      <c r="J11" s="5">
        <f>MAX(Hit!J11,Stand!J11,Double!J11,Surrender!J11)</f>
        <v/>
      </c>
      <c r="K11" s="5">
        <f>MAX(Hit!K11,Stand!K11,Double!K11,Surrender!K11)</f>
        <v/>
      </c>
      <c r="M11" s="2" t="n">
        <v>13</v>
      </c>
      <c r="N11" s="2">
        <f>IF(B11=Stand!B11,"S",IF(B11=Double!B11,"D",IF(B11=Surrender!B11,"R","H")))</f>
        <v/>
      </c>
      <c r="O11" s="2">
        <f>IF(C11=Stand!C11,"S",IF(C11=Double!C11,"D",IF(C11=Surrender!C11,"R","H")))</f>
        <v/>
      </c>
      <c r="P11" s="2">
        <f>IF(D11=Stand!D11,"S",IF(D11=Double!D11,"D",IF(D11=Surrender!D11,"R","H")))</f>
        <v/>
      </c>
      <c r="Q11" s="2">
        <f>IF(E11=Stand!E11,"S",IF(E11=Double!E11,"D",IF(E11=Surrender!E11,"R","H")))</f>
        <v/>
      </c>
      <c r="R11" s="2">
        <f>IF(F11=Stand!F11,"S",IF(F11=Double!F11,"D",IF(F11=Surrender!F11,"R","H")))</f>
        <v/>
      </c>
      <c r="S11" s="2">
        <f>IF(G11=Stand!G11,"S",IF(G11=Double!G11,"D",IF(G11=Surrender!G11,"R","H")))</f>
        <v/>
      </c>
      <c r="T11" s="2">
        <f>IF(H11=Stand!H11,"S",IF(H11=Double!H11,"D",IF(H11=Surrender!H11,"R","H")))</f>
        <v/>
      </c>
      <c r="U11" s="2">
        <f>IF(I11=Stand!I11,"S",IF(I11=Double!I11,"D",IF(I11=Surrender!I11,"R","H")))</f>
        <v/>
      </c>
      <c r="V11" s="2">
        <f>IF(J11=Stand!J11,"S",IF(J11=Double!J11,"D",IF(J11=Surrender!J11,"R","H")))</f>
        <v/>
      </c>
      <c r="W11" s="2">
        <f>IF(K11=Stand!K11,"S",IF(K11=Double!K11,"D",IF(K11=Surrender!K11,"R","H")))</f>
        <v/>
      </c>
    </row>
    <row r="12" ht="15.75" customHeight="1" s="12">
      <c r="A12" s="5" t="n">
        <v>14</v>
      </c>
      <c r="B12" s="5">
        <f>MAX(Hit!B12,Stand!B12,Double!B12,Surrender!B12)</f>
        <v/>
      </c>
      <c r="C12" s="5">
        <f>MAX(Hit!C12,Stand!C12,Double!C12,Surrender!C12)</f>
        <v/>
      </c>
      <c r="D12" s="5">
        <f>MAX(Hit!D12,Stand!D12,Double!D12,Surrender!D12)</f>
        <v/>
      </c>
      <c r="E12" s="5">
        <f>MAX(Hit!E12,Stand!E12,Double!E12,Surrender!E12)</f>
        <v/>
      </c>
      <c r="F12" s="5">
        <f>MAX(Hit!F12,Stand!F12,Double!F12,Surrender!F12)</f>
        <v/>
      </c>
      <c r="G12" s="5">
        <f>MAX(Hit!G12,Stand!G12,Double!G12,Surrender!G12)</f>
        <v/>
      </c>
      <c r="H12" s="5">
        <f>MAX(Hit!H12,Stand!H12,Double!H12,Surrender!H12)</f>
        <v/>
      </c>
      <c r="I12" s="5">
        <f>MAX(Hit!I12,Stand!I12,Double!I12,Surrender!I12)</f>
        <v/>
      </c>
      <c r="J12" s="5">
        <f>MAX(Hit!J12,Stand!J12,Double!J12,Surrender!J12)</f>
        <v/>
      </c>
      <c r="K12" s="5">
        <f>MAX(Hit!K12,Stand!K12,Double!K12,Surrender!K12)</f>
        <v/>
      </c>
      <c r="M12" s="2" t="n">
        <v>14</v>
      </c>
      <c r="N12" s="2">
        <f>IF(B12=Stand!B12,"S",IF(B12=Double!B12,"D",IF(B12=Surrender!B12,"R","H")))</f>
        <v/>
      </c>
      <c r="O12" s="2">
        <f>IF(C12=Stand!C12,"S",IF(C12=Double!C12,"D",IF(C12=Surrender!C12,"R","H")))</f>
        <v/>
      </c>
      <c r="P12" s="2">
        <f>IF(D12=Stand!D12,"S",IF(D12=Double!D12,"D",IF(D12=Surrender!D12,"R","H")))</f>
        <v/>
      </c>
      <c r="Q12" s="2">
        <f>IF(E12=Stand!E12,"S",IF(E12=Double!E12,"D",IF(E12=Surrender!E12,"R","H")))</f>
        <v/>
      </c>
      <c r="R12" s="2">
        <f>IF(F12=Stand!F12,"S",IF(F12=Double!F12,"D",IF(F12=Surrender!F12,"R","H")))</f>
        <v/>
      </c>
      <c r="S12" s="2">
        <f>IF(G12=Stand!G12,"S",IF(G12=Double!G12,"D",IF(G12=Surrender!G12,"R","H")))</f>
        <v/>
      </c>
      <c r="T12" s="2">
        <f>IF(H12=Stand!H12,"S",IF(H12=Double!H12,"D",IF(H12=Surrender!H12,"R","H")))</f>
        <v/>
      </c>
      <c r="U12" s="2">
        <f>IF(I12=Stand!I12,"S",IF(I12=Double!I12,"D",IF(I12=Surrender!I12,"R","H")))</f>
        <v/>
      </c>
      <c r="V12" s="2">
        <f>IF(J12=Stand!J12,"S",IF(J12=Double!J12,"D",IF(J12=Surrender!J12,"R","H")))</f>
        <v/>
      </c>
      <c r="W12" s="2">
        <f>IF(K12=Stand!K12,"S",IF(K12=Double!K12,"D",IF(K12=Surrender!K12,"R","H")))</f>
        <v/>
      </c>
    </row>
    <row r="13" ht="15.75" customHeight="1" s="12">
      <c r="A13" s="5" t="n">
        <v>15</v>
      </c>
      <c r="B13" s="5">
        <f>MAX(Hit!B13,Stand!B13,Double!B13,Surrender!B13)</f>
        <v/>
      </c>
      <c r="C13" s="5">
        <f>MAX(Hit!C13,Stand!C13,Double!C13,Surrender!C13)</f>
        <v/>
      </c>
      <c r="D13" s="5">
        <f>MAX(Hit!D13,Stand!D13,Double!D13,Surrender!D13)</f>
        <v/>
      </c>
      <c r="E13" s="5">
        <f>MAX(Hit!E13,Stand!E13,Double!E13,Surrender!E13)</f>
        <v/>
      </c>
      <c r="F13" s="5">
        <f>MAX(Hit!F13,Stand!F13,Double!F13,Surrender!F13)</f>
        <v/>
      </c>
      <c r="G13" s="5">
        <f>MAX(Hit!G13,Stand!G13,Double!G13,Surrender!G13)</f>
        <v/>
      </c>
      <c r="H13" s="5">
        <f>MAX(Hit!H13,Stand!H13,Double!H13,Surrender!H13)</f>
        <v/>
      </c>
      <c r="I13" s="5">
        <f>MAX(Hit!I13,Stand!I13,Double!I13,Surrender!I13)</f>
        <v/>
      </c>
      <c r="J13" s="5">
        <f>MAX(Hit!J13,Stand!J13,Double!J13,Surrender!J13)</f>
        <v/>
      </c>
      <c r="K13" s="5">
        <f>MAX(Hit!K13,Stand!K13,Double!K13,Surrender!K13)</f>
        <v/>
      </c>
      <c r="M13" s="2" t="n">
        <v>15</v>
      </c>
      <c r="N13" s="2">
        <f>IF(B13=Stand!B13,"S",IF(B13=Double!B13,"D",IF(B13=Surrender!B13,"R","H")))</f>
        <v/>
      </c>
      <c r="O13" s="2">
        <f>IF(C13=Stand!C13,"S",IF(C13=Double!C13,"D",IF(C13=Surrender!C13,"R","H")))</f>
        <v/>
      </c>
      <c r="P13" s="2">
        <f>IF(D13=Stand!D13,"S",IF(D13=Double!D13,"D",IF(D13=Surrender!D13,"R","H")))</f>
        <v/>
      </c>
      <c r="Q13" s="2">
        <f>IF(E13=Stand!E13,"S",IF(E13=Double!E13,"D",IF(E13=Surrender!E13,"R","H")))</f>
        <v/>
      </c>
      <c r="R13" s="2">
        <f>IF(F13=Stand!F13,"S",IF(F13=Double!F13,"D",IF(F13=Surrender!F13,"R","H")))</f>
        <v/>
      </c>
      <c r="S13" s="2">
        <f>IF(G13=Stand!G13,"S",IF(G13=Double!G13,"D",IF(G13=Surrender!G13,"R","H")))</f>
        <v/>
      </c>
      <c r="T13" s="2">
        <f>IF(H13=Stand!H13,"S",IF(H13=Double!H13,"D",IF(H13=Surrender!H13,"R","H")))</f>
        <v/>
      </c>
      <c r="U13" s="2">
        <f>IF(I13=Stand!I13,"S",IF(I13=Double!I13,"D",IF(I13=Surrender!I13,"R","H")))</f>
        <v/>
      </c>
      <c r="V13" s="2">
        <f>IF(J13=Stand!J13,"S",IF(J13=Double!J13,"D",IF(J13=Surrender!J13,"R","H")))</f>
        <v/>
      </c>
      <c r="W13" s="2">
        <f>IF(K13=Stand!K13,"S",IF(K13=Double!K13,"D",IF(K13=Surrender!K13,"R","H")))</f>
        <v/>
      </c>
    </row>
    <row r="14" ht="15.75" customHeight="1" s="12">
      <c r="A14" s="5" t="n">
        <v>16</v>
      </c>
      <c r="B14" s="5">
        <f>MAX(Hit!B14,Stand!B14,Double!B14,Surrender!B14)</f>
        <v/>
      </c>
      <c r="C14" s="5">
        <f>MAX(Hit!C14,Stand!C14,Double!C14,Surrender!C14)</f>
        <v/>
      </c>
      <c r="D14" s="5">
        <f>MAX(Hit!D14,Stand!D14,Double!D14,Surrender!D14)</f>
        <v/>
      </c>
      <c r="E14" s="5">
        <f>MAX(Hit!E14,Stand!E14,Double!E14,Surrender!E14)</f>
        <v/>
      </c>
      <c r="F14" s="5">
        <f>MAX(Hit!F14,Stand!F14,Double!F14,Surrender!F14)</f>
        <v/>
      </c>
      <c r="G14" s="5">
        <f>MAX(Hit!G14,Stand!G14,Double!G14,Surrender!G14)</f>
        <v/>
      </c>
      <c r="H14" s="5">
        <f>MAX(Hit!H14,Stand!H14,Double!H14,Surrender!H14)</f>
        <v/>
      </c>
      <c r="I14" s="5">
        <f>MAX(Hit!I14,Stand!I14,Double!I14,Surrender!I14)</f>
        <v/>
      </c>
      <c r="J14" s="5">
        <f>MAX(Hit!J14,Stand!J14,Double!J14,Surrender!J14)</f>
        <v/>
      </c>
      <c r="K14" s="5">
        <f>MAX(Hit!K14,Stand!K14,Double!K14,Surrender!K14)</f>
        <v/>
      </c>
      <c r="M14" s="2" t="n">
        <v>16</v>
      </c>
      <c r="N14" s="2">
        <f>IF(B14=Stand!B14,"S",IF(B14=Double!B14,"D",IF(B14=Surrender!B14,"R","H")))</f>
        <v/>
      </c>
      <c r="O14" s="2">
        <f>IF(C14=Stand!C14,"S",IF(C14=Double!C14,"D",IF(C14=Surrender!C14,"R","H")))</f>
        <v/>
      </c>
      <c r="P14" s="2">
        <f>IF(D14=Stand!D14,"S",IF(D14=Double!D14,"D",IF(D14=Surrender!D14,"R","H")))</f>
        <v/>
      </c>
      <c r="Q14" s="2">
        <f>IF(E14=Stand!E14,"S",IF(E14=Double!E14,"D",IF(E14=Surrender!E14,"R","H")))</f>
        <v/>
      </c>
      <c r="R14" s="2">
        <f>IF(F14=Stand!F14,"S",IF(F14=Double!F14,"D",IF(F14=Surrender!F14,"R","H")))</f>
        <v/>
      </c>
      <c r="S14" s="2">
        <f>IF(G14=Stand!G14,"S",IF(G14=Double!G14,"D",IF(G14=Surrender!G14,"R","H")))</f>
        <v/>
      </c>
      <c r="T14" s="2">
        <f>IF(H14=Stand!H14,"S",IF(H14=Double!H14,"D",IF(H14=Surrender!H14,"R","H")))</f>
        <v/>
      </c>
      <c r="U14" s="2">
        <f>IF(I14=Stand!I14,"S",IF(I14=Double!I14,"D",IF(I14=Surrender!I14,"R","H")))</f>
        <v/>
      </c>
      <c r="V14" s="2">
        <f>IF(J14=Stand!J14,"S",IF(J14=Double!J14,"D",IF(J14=Surrender!J14,"R","H")))</f>
        <v/>
      </c>
      <c r="W14" s="2">
        <f>IF(K14=Stand!K14,"S",IF(K14=Double!K14,"D",IF(K14=Surrender!K14,"R","H")))</f>
        <v/>
      </c>
    </row>
    <row r="15" ht="15.75" customHeight="1" s="12">
      <c r="A15" s="5" t="n">
        <v>17</v>
      </c>
      <c r="B15" s="5">
        <f>MAX(Hit!B15,Stand!B15,Double!B15,Surrender!B15)</f>
        <v/>
      </c>
      <c r="C15" s="5">
        <f>MAX(Hit!C15,Stand!C15,Double!C15,Surrender!C15)</f>
        <v/>
      </c>
      <c r="D15" s="5">
        <f>MAX(Hit!D15,Stand!D15,Double!D15,Surrender!D15)</f>
        <v/>
      </c>
      <c r="E15" s="5">
        <f>MAX(Hit!E15,Stand!E15,Double!E15,Surrender!E15)</f>
        <v/>
      </c>
      <c r="F15" s="5">
        <f>MAX(Hit!F15,Stand!F15,Double!F15,Surrender!F15)</f>
        <v/>
      </c>
      <c r="G15" s="5">
        <f>MAX(Hit!G15,Stand!G15,Double!G15,Surrender!G15)</f>
        <v/>
      </c>
      <c r="H15" s="5">
        <f>MAX(Hit!H15,Stand!H15,Double!H15,Surrender!H15)</f>
        <v/>
      </c>
      <c r="I15" s="5">
        <f>MAX(Hit!I15,Stand!I15,Double!I15,Surrender!I15)</f>
        <v/>
      </c>
      <c r="J15" s="5">
        <f>MAX(Hit!J15,Stand!J15,Double!J15,Surrender!J15)</f>
        <v/>
      </c>
      <c r="K15" s="5">
        <f>MAX(Hit!K15,Stand!K15,Double!K15,Surrender!K15)</f>
        <v/>
      </c>
      <c r="M15" s="2" t="n">
        <v>17</v>
      </c>
      <c r="N15" s="2">
        <f>IF(B15=Stand!B15,"S",IF(B15=Double!B15,"D",IF(B15=Surrender!B15,"R","H")))</f>
        <v/>
      </c>
      <c r="O15" s="2">
        <f>IF(C15=Stand!C15,"S",IF(C15=Double!C15,"D",IF(C15=Surrender!C15,"R","H")))</f>
        <v/>
      </c>
      <c r="P15" s="2">
        <f>IF(D15=Stand!D15,"S",IF(D15=Double!D15,"D",IF(D15=Surrender!D15,"R","H")))</f>
        <v/>
      </c>
      <c r="Q15" s="2">
        <f>IF(E15=Stand!E15,"S",IF(E15=Double!E15,"D",IF(E15=Surrender!E15,"R","H")))</f>
        <v/>
      </c>
      <c r="R15" s="2">
        <f>IF(F15=Stand!F15,"S",IF(F15=Double!F15,"D",IF(F15=Surrender!F15,"R","H")))</f>
        <v/>
      </c>
      <c r="S15" s="2">
        <f>IF(G15=Stand!G15,"S",IF(G15=Double!G15,"D",IF(G15=Surrender!G15,"R","H")))</f>
        <v/>
      </c>
      <c r="T15" s="2">
        <f>IF(H15=Stand!H15,"S",IF(H15=Double!H15,"D",IF(H15=Surrender!H15,"R","H")))</f>
        <v/>
      </c>
      <c r="U15" s="2">
        <f>IF(I15=Stand!I15,"S",IF(I15=Double!I15,"D",IF(I15=Surrender!I15,"R","H")))</f>
        <v/>
      </c>
      <c r="V15" s="2">
        <f>IF(J15=Stand!J15,"S",IF(J15=Double!J15,"D",IF(J15=Surrender!J15,"R","H")))</f>
        <v/>
      </c>
      <c r="W15" s="2">
        <f>IF(K15=Stand!K15,"S",IF(K15=Double!K15,"D",IF(K15=Surrender!K15,"R","H")))</f>
        <v/>
      </c>
    </row>
    <row r="16" ht="15.75" customHeight="1" s="12">
      <c r="A16" s="5" t="n">
        <v>18</v>
      </c>
      <c r="B16" s="5">
        <f>MAX(Hit!B16,Stand!B16,Double!B16,Surrender!B16)</f>
        <v/>
      </c>
      <c r="C16" s="5">
        <f>MAX(Hit!C16,Stand!C16,Double!C16,Surrender!C16)</f>
        <v/>
      </c>
      <c r="D16" s="5">
        <f>MAX(Hit!D16,Stand!D16,Double!D16,Surrender!D16)</f>
        <v/>
      </c>
      <c r="E16" s="5">
        <f>MAX(Hit!E16,Stand!E16,Double!E16,Surrender!E16)</f>
        <v/>
      </c>
      <c r="F16" s="5">
        <f>MAX(Hit!F16,Stand!F16,Double!F16,Surrender!F16)</f>
        <v/>
      </c>
      <c r="G16" s="5">
        <f>MAX(Hit!G16,Stand!G16,Double!G16,Surrender!G16)</f>
        <v/>
      </c>
      <c r="H16" s="5">
        <f>MAX(Hit!H16,Stand!H16,Double!H16,Surrender!H16)</f>
        <v/>
      </c>
      <c r="I16" s="5">
        <f>MAX(Hit!I16,Stand!I16,Double!I16,Surrender!I16)</f>
        <v/>
      </c>
      <c r="J16" s="5">
        <f>MAX(Hit!J16,Stand!J16,Double!J16,Surrender!J16)</f>
        <v/>
      </c>
      <c r="K16" s="5">
        <f>MAX(Hit!K16,Stand!K16,Double!K16,Surrender!K16)</f>
        <v/>
      </c>
      <c r="M16" s="2" t="n">
        <v>18</v>
      </c>
      <c r="N16" s="2">
        <f>IF(B16=Stand!B16,"S",IF(B16=Double!B16,"D",IF(B16=Surrender!B16,"R","H")))</f>
        <v/>
      </c>
      <c r="O16" s="2">
        <f>IF(C16=Stand!C16,"S",IF(C16=Double!C16,"D",IF(C16=Surrender!C16,"R","H")))</f>
        <v/>
      </c>
      <c r="P16" s="2">
        <f>IF(D16=Stand!D16,"S",IF(D16=Double!D16,"D",IF(D16=Surrender!D16,"R","H")))</f>
        <v/>
      </c>
      <c r="Q16" s="2">
        <f>IF(E16=Stand!E16,"S",IF(E16=Double!E16,"D",IF(E16=Surrender!E16,"R","H")))</f>
        <v/>
      </c>
      <c r="R16" s="2">
        <f>IF(F16=Stand!F16,"S",IF(F16=Double!F16,"D",IF(F16=Surrender!F16,"R","H")))</f>
        <v/>
      </c>
      <c r="S16" s="2">
        <f>IF(G16=Stand!G16,"S",IF(G16=Double!G16,"D",IF(G16=Surrender!G16,"R","H")))</f>
        <v/>
      </c>
      <c r="T16" s="2">
        <f>IF(H16=Stand!H16,"S",IF(H16=Double!H16,"D",IF(H16=Surrender!H16,"R","H")))</f>
        <v/>
      </c>
      <c r="U16" s="2">
        <f>IF(I16=Stand!I16,"S",IF(I16=Double!I16,"D",IF(I16=Surrender!I16,"R","H")))</f>
        <v/>
      </c>
      <c r="V16" s="2">
        <f>IF(J16=Stand!J16,"S",IF(J16=Double!J16,"D",IF(J16=Surrender!J16,"R","H")))</f>
        <v/>
      </c>
      <c r="W16" s="2">
        <f>IF(K16=Stand!K16,"S",IF(K16=Double!K16,"D",IF(K16=Surrender!K16,"R","H")))</f>
        <v/>
      </c>
    </row>
    <row r="17" ht="15.75" customHeight="1" s="12">
      <c r="A17" s="5" t="n">
        <v>19</v>
      </c>
      <c r="B17" s="5">
        <f>MAX(Hit!B17,Stand!B17,Double!B17,Surrender!B17)</f>
        <v/>
      </c>
      <c r="C17" s="5">
        <f>MAX(Hit!C17,Stand!C17,Double!C17,Surrender!C17)</f>
        <v/>
      </c>
      <c r="D17" s="5">
        <f>MAX(Hit!D17,Stand!D17,Double!D17,Surrender!D17)</f>
        <v/>
      </c>
      <c r="E17" s="5">
        <f>MAX(Hit!E17,Stand!E17,Double!E17,Surrender!E17)</f>
        <v/>
      </c>
      <c r="F17" s="5">
        <f>MAX(Hit!F17,Stand!F17,Double!F17,Surrender!F17)</f>
        <v/>
      </c>
      <c r="G17" s="5">
        <f>MAX(Hit!G17,Stand!G17,Double!G17,Surrender!G17)</f>
        <v/>
      </c>
      <c r="H17" s="5">
        <f>MAX(Hit!H17,Stand!H17,Double!H17,Surrender!H17)</f>
        <v/>
      </c>
      <c r="I17" s="5">
        <f>MAX(Hit!I17,Stand!I17,Double!I17,Surrender!I17)</f>
        <v/>
      </c>
      <c r="J17" s="5">
        <f>MAX(Hit!J17,Stand!J17,Double!J17,Surrender!J17)</f>
        <v/>
      </c>
      <c r="K17" s="5">
        <f>MAX(Hit!K17,Stand!K17,Double!K17,Surrender!K17)</f>
        <v/>
      </c>
      <c r="M17" s="2" t="n">
        <v>19</v>
      </c>
      <c r="N17" s="2">
        <f>IF(B17=Stand!B17,"S",IF(B17=Double!B17,"D",IF(B17=Surrender!B17,"R","H")))</f>
        <v/>
      </c>
      <c r="O17" s="2">
        <f>IF(C17=Stand!C17,"S",IF(C17=Double!C17,"D",IF(C17=Surrender!C17,"R","H")))</f>
        <v/>
      </c>
      <c r="P17" s="2">
        <f>IF(D17=Stand!D17,"S",IF(D17=Double!D17,"D",IF(D17=Surrender!D17,"R","H")))</f>
        <v/>
      </c>
      <c r="Q17" s="2">
        <f>IF(E17=Stand!E17,"S",IF(E17=Double!E17,"D",IF(E17=Surrender!E17,"R","H")))</f>
        <v/>
      </c>
      <c r="R17" s="2">
        <f>IF(F17=Stand!F17,"S",IF(F17=Double!F17,"D",IF(F17=Surrender!F17,"R","H")))</f>
        <v/>
      </c>
      <c r="S17" s="2">
        <f>IF(G17=Stand!G17,"S",IF(G17=Double!G17,"D",IF(G17=Surrender!G17,"R","H")))</f>
        <v/>
      </c>
      <c r="T17" s="2">
        <f>IF(H17=Stand!H17,"S",IF(H17=Double!H17,"D",IF(H17=Surrender!H17,"R","H")))</f>
        <v/>
      </c>
      <c r="U17" s="2">
        <f>IF(I17=Stand!I17,"S",IF(I17=Double!I17,"D",IF(I17=Surrender!I17,"R","H")))</f>
        <v/>
      </c>
      <c r="V17" s="2">
        <f>IF(J17=Stand!J17,"S",IF(J17=Double!J17,"D",IF(J17=Surrender!J17,"R","H")))</f>
        <v/>
      </c>
      <c r="W17" s="2">
        <f>IF(K17=Stand!K17,"S",IF(K17=Double!K17,"D",IF(K17=Surrender!K17,"R","H")))</f>
        <v/>
      </c>
    </row>
    <row r="18" ht="15.75" customHeight="1" s="12">
      <c r="A18" s="5" t="n">
        <v>20</v>
      </c>
      <c r="B18" s="5">
        <f>MAX(Hit!B18,Stand!B18,Double!B18,Surrender!B18)</f>
        <v/>
      </c>
      <c r="C18" s="5">
        <f>MAX(Hit!C18,Stand!C18,Double!C18,Surrender!C18)</f>
        <v/>
      </c>
      <c r="D18" s="5">
        <f>MAX(Hit!D18,Stand!D18,Double!D18,Surrender!D18)</f>
        <v/>
      </c>
      <c r="E18" s="5">
        <f>MAX(Hit!E18,Stand!E18,Double!E18,Surrender!E18)</f>
        <v/>
      </c>
      <c r="F18" s="5">
        <f>MAX(Hit!F18,Stand!F18,Double!F18,Surrender!F18)</f>
        <v/>
      </c>
      <c r="G18" s="5">
        <f>MAX(Hit!G18,Stand!G18,Double!G18,Surrender!G18)</f>
        <v/>
      </c>
      <c r="H18" s="5">
        <f>MAX(Hit!H18,Stand!H18,Double!H18,Surrender!H18)</f>
        <v/>
      </c>
      <c r="I18" s="5">
        <f>MAX(Hit!I18,Stand!I18,Double!I18,Surrender!I18)</f>
        <v/>
      </c>
      <c r="J18" s="5">
        <f>MAX(Hit!J18,Stand!J18,Double!J18,Surrender!J18)</f>
        <v/>
      </c>
      <c r="K18" s="5">
        <f>MAX(Hit!K18,Stand!K18,Double!K18,Surrender!K18)</f>
        <v/>
      </c>
      <c r="M18" s="2" t="n">
        <v>20</v>
      </c>
      <c r="N18" s="2">
        <f>IF(B18=Stand!B18,"S",IF(B18=Double!B18,"D",IF(B18=Surrender!B18,"R","H")))</f>
        <v/>
      </c>
      <c r="O18" s="2">
        <f>IF(C18=Stand!C18,"S",IF(C18=Double!C18,"D",IF(C18=Surrender!C18,"R","H")))</f>
        <v/>
      </c>
      <c r="P18" s="2">
        <f>IF(D18=Stand!D18,"S",IF(D18=Double!D18,"D",IF(D18=Surrender!D18,"R","H")))</f>
        <v/>
      </c>
      <c r="Q18" s="2">
        <f>IF(E18=Stand!E18,"S",IF(E18=Double!E18,"D",IF(E18=Surrender!E18,"R","H")))</f>
        <v/>
      </c>
      <c r="R18" s="2">
        <f>IF(F18=Stand!F18,"S",IF(F18=Double!F18,"D",IF(F18=Surrender!F18,"R","H")))</f>
        <v/>
      </c>
      <c r="S18" s="2">
        <f>IF(G18=Stand!G18,"S",IF(G18=Double!G18,"D",IF(G18=Surrender!G18,"R","H")))</f>
        <v/>
      </c>
      <c r="T18" s="2">
        <f>IF(H18=Stand!H18,"S",IF(H18=Double!H18,"D",IF(H18=Surrender!H18,"R","H")))</f>
        <v/>
      </c>
      <c r="U18" s="2">
        <f>IF(I18=Stand!I18,"S",IF(I18=Double!I18,"D",IF(I18=Surrender!I18,"R","H")))</f>
        <v/>
      </c>
      <c r="V18" s="2">
        <f>IF(J18=Stand!J18,"S",IF(J18=Double!J18,"D",IF(J18=Surrender!J18,"R","H")))</f>
        <v/>
      </c>
      <c r="W18" s="2">
        <f>IF(K18=Stand!K18,"S",IF(K18=Double!K18,"D",IF(K18=Surrender!K18,"R","H")))</f>
        <v/>
      </c>
    </row>
    <row r="19" ht="15.75" customHeight="1" s="12">
      <c r="A19" s="5" t="n">
        <v>21</v>
      </c>
      <c r="B19" s="5">
        <f>MAX(Hit!B19,Stand!B19,Double!B19,Surrender!B19)</f>
        <v/>
      </c>
      <c r="C19" s="5">
        <f>MAX(Hit!C19,Stand!C19,Double!C19,Surrender!C19)</f>
        <v/>
      </c>
      <c r="D19" s="5">
        <f>MAX(Hit!D19,Stand!D19,Double!D19,Surrender!D19)</f>
        <v/>
      </c>
      <c r="E19" s="5">
        <f>MAX(Hit!E19,Stand!E19,Double!E19,Surrender!E19)</f>
        <v/>
      </c>
      <c r="F19" s="5">
        <f>MAX(Hit!F19,Stand!F19,Double!F19,Surrender!F19)</f>
        <v/>
      </c>
      <c r="G19" s="5">
        <f>MAX(Hit!G19,Stand!G19,Double!G19,Surrender!G19)</f>
        <v/>
      </c>
      <c r="H19" s="5">
        <f>MAX(Hit!H19,Stand!H19,Double!H19,Surrender!H19)</f>
        <v/>
      </c>
      <c r="I19" s="5">
        <f>MAX(Hit!I19,Stand!I19,Double!I19,Surrender!I19)</f>
        <v/>
      </c>
      <c r="J19" s="5">
        <f>MAX(Hit!J19,Stand!J19,Double!J19,Surrender!J19)</f>
        <v/>
      </c>
      <c r="K19" s="5">
        <f>MAX(Hit!K19,Stand!K19,Double!K19,Surrender!K19)</f>
        <v/>
      </c>
      <c r="M19" s="2" t="n">
        <v>21</v>
      </c>
      <c r="N19" s="2">
        <f>IF(B19=Stand!B19,"S",IF(B19=Double!B19,"D",IF(B19=Surrender!B19,"R","H")))</f>
        <v/>
      </c>
      <c r="O19" s="2">
        <f>IF(C19=Stand!C19,"S",IF(C19=Double!C19,"D",IF(C19=Surrender!C19,"R","H")))</f>
        <v/>
      </c>
      <c r="P19" s="2">
        <f>IF(D19=Stand!D19,"S",IF(D19=Double!D19,"D",IF(D19=Surrender!D19,"R","H")))</f>
        <v/>
      </c>
      <c r="Q19" s="2">
        <f>IF(E19=Stand!E19,"S",IF(E19=Double!E19,"D",IF(E19=Surrender!E19,"R","H")))</f>
        <v/>
      </c>
      <c r="R19" s="2">
        <f>IF(F19=Stand!F19,"S",IF(F19=Double!F19,"D",IF(F19=Surrender!F19,"R","H")))</f>
        <v/>
      </c>
      <c r="S19" s="2">
        <f>IF(G19=Stand!G19,"S",IF(G19=Double!G19,"D",IF(G19=Surrender!G19,"R","H")))</f>
        <v/>
      </c>
      <c r="T19" s="2">
        <f>IF(H19=Stand!H19,"S",IF(H19=Double!H19,"D",IF(H19=Surrender!H19,"R","H")))</f>
        <v/>
      </c>
      <c r="U19" s="2">
        <f>IF(I19=Stand!I19,"S",IF(I19=Double!I19,"D",IF(I19=Surrender!I19,"R","H")))</f>
        <v/>
      </c>
      <c r="V19" s="2">
        <f>IF(J19=Stand!J19,"S",IF(J19=Double!J19,"D",IF(J19=Surrender!J19,"R","H")))</f>
        <v/>
      </c>
      <c r="W19" s="2">
        <f>IF(K19=Stand!K19,"S",IF(K19=Double!K19,"D",IF(K19=Surrender!K19,"R","H")))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2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MAX(Hit!B32,Stand!B32,Double!B32,Surrender!B32)</f>
        <v/>
      </c>
      <c r="C32" s="5">
        <f>MAX(Hit!C32,Stand!C32,Double!C32,Surrender!C32)</f>
        <v/>
      </c>
      <c r="D32" s="5">
        <f>MAX(Hit!D32,Stand!D32,Double!D32,Surrender!D32)</f>
        <v/>
      </c>
      <c r="E32" s="5">
        <f>MAX(Hit!E32,Stand!E32,Double!E32,Surrender!E32)</f>
        <v/>
      </c>
      <c r="F32" s="5">
        <f>MAX(Hit!F32,Stand!F32,Double!F32,Surrender!F32)</f>
        <v/>
      </c>
      <c r="G32" s="5">
        <f>MAX(Hit!G32,Stand!G32,Double!G32,Surrender!G32)</f>
        <v/>
      </c>
      <c r="H32" s="5">
        <f>MAX(Hit!H32,Stand!H32,Double!H32,Surrender!H32)</f>
        <v/>
      </c>
      <c r="I32" s="5">
        <f>MAX(Hit!I32,Stand!I32,Double!I32,Surrender!I32)</f>
        <v/>
      </c>
      <c r="J32" s="5">
        <f>MAX(Hit!J32,Stand!J32,Double!J32,Surrender!J32)</f>
        <v/>
      </c>
      <c r="K32" s="5">
        <f>MAX(Hit!K32,Stand!K32,Double!K32,Surrender!K32)</f>
        <v/>
      </c>
      <c r="M32" s="2" t="n">
        <v>12</v>
      </c>
      <c r="N32" s="2">
        <f>IF(B32=Stand!B32,"S",IF(B32=Double!B32,"D",IF(B32=Surrender!B32,"R","H")))</f>
        <v/>
      </c>
      <c r="O32" s="2">
        <f>IF(C32=Stand!C32,"S",IF(C32=Double!C32,"D",IF(C32=Surrender!C32,"R","H")))</f>
        <v/>
      </c>
      <c r="P32" s="2">
        <f>IF(D32=Stand!D32,"S",IF(D32=Double!D32,"D",IF(D32=Surrender!D32,"R","H")))</f>
        <v/>
      </c>
      <c r="Q32" s="2">
        <f>IF(E32=Stand!E32,"S",IF(E32=Double!E32,"D",IF(E32=Surrender!E32,"R","H")))</f>
        <v/>
      </c>
      <c r="R32" s="2">
        <f>IF(F32=Stand!F32,"S",IF(F32=Double!F32,"D",IF(F32=Surrender!F32,"R","H")))</f>
        <v/>
      </c>
      <c r="S32" s="2">
        <f>IF(G32=Stand!G32,"S",IF(G32=Double!G32,"D",IF(G32=Surrender!G32,"R","H")))</f>
        <v/>
      </c>
      <c r="T32" s="2">
        <f>IF(H32=Stand!H32,"S",IF(H32=Double!H32,"D",IF(H32=Surrender!H32,"R","H")))</f>
        <v/>
      </c>
      <c r="U32" s="2">
        <f>IF(I32=Stand!I32,"S",IF(I32=Double!I32,"D",IF(I32=Surrender!I32,"R","H")))</f>
        <v/>
      </c>
      <c r="V32" s="2">
        <f>IF(J32=Stand!J32,"S",IF(J32=Double!J32,"D",IF(J32=Surrender!J32,"R","H")))</f>
        <v/>
      </c>
      <c r="W32" s="2">
        <f>IF(K32=Stand!K32,"S",IF(K32=Double!K32,"D",IF(K32=Surrender!K32,"R","H")))</f>
        <v/>
      </c>
    </row>
    <row r="33" ht="12.5" customHeight="1" s="12">
      <c r="A33" s="5" t="n">
        <v>13</v>
      </c>
      <c r="B33" s="5">
        <f>MAX(Hit!B33,Stand!B33,Double!B33,Surrender!B33)</f>
        <v/>
      </c>
      <c r="C33" s="5">
        <f>MAX(Hit!C33,Stand!C33,Double!C33,Surrender!C33)</f>
        <v/>
      </c>
      <c r="D33" s="5">
        <f>MAX(Hit!D33,Stand!D33,Double!D33,Surrender!D33)</f>
        <v/>
      </c>
      <c r="E33" s="5">
        <f>MAX(Hit!E33,Stand!E33,Double!E33,Surrender!E33)</f>
        <v/>
      </c>
      <c r="F33" s="5">
        <f>MAX(Hit!F33,Stand!F33,Double!F33,Surrender!F33)</f>
        <v/>
      </c>
      <c r="G33" s="5">
        <f>MAX(Hit!G33,Stand!G33,Double!G33,Surrender!G33)</f>
        <v/>
      </c>
      <c r="H33" s="5">
        <f>MAX(Hit!H33,Stand!H33,Double!H33,Surrender!H33)</f>
        <v/>
      </c>
      <c r="I33" s="5">
        <f>MAX(Hit!I33,Stand!I33,Double!I33,Surrender!I33)</f>
        <v/>
      </c>
      <c r="J33" s="5">
        <f>MAX(Hit!J33,Stand!J33,Double!J33,Surrender!J33)</f>
        <v/>
      </c>
      <c r="K33" s="5">
        <f>MAX(Hit!K33,Stand!K33,Double!K33,Surrender!K33)</f>
        <v/>
      </c>
      <c r="M33" s="2" t="n">
        <v>13</v>
      </c>
      <c r="N33" s="2">
        <f>IF(B33=Stand!B33,"S",IF(B33=Double!B33,"D",IF(B33=Surrender!B33,"R","H")))</f>
        <v/>
      </c>
      <c r="O33" s="2">
        <f>IF(C33=Stand!C33,"S",IF(C33=Double!C33,"D",IF(C33=Surrender!C33,"R","H")))</f>
        <v/>
      </c>
      <c r="P33" s="2">
        <f>IF(D33=Stand!D33,"S",IF(D33=Double!D33,"D",IF(D33=Surrender!D33,"R","H")))</f>
        <v/>
      </c>
      <c r="Q33" s="2">
        <f>IF(E33=Stand!E33,"S",IF(E33=Double!E33,"D",IF(E33=Surrender!E33,"R","H")))</f>
        <v/>
      </c>
      <c r="R33" s="2">
        <f>IF(F33=Stand!F33,"S",IF(F33=Double!F33,"D",IF(F33=Surrender!F33,"R","H")))</f>
        <v/>
      </c>
      <c r="S33" s="2">
        <f>IF(G33=Stand!G33,"S",IF(G33=Double!G33,"D",IF(G33=Surrender!G33,"R","H")))</f>
        <v/>
      </c>
      <c r="T33" s="2">
        <f>IF(H33=Stand!H33,"S",IF(H33=Double!H33,"D",IF(H33=Surrender!H33,"R","H")))</f>
        <v/>
      </c>
      <c r="U33" s="2">
        <f>IF(I33=Stand!I33,"S",IF(I33=Double!I33,"D",IF(I33=Surrender!I33,"R","H")))</f>
        <v/>
      </c>
      <c r="V33" s="2">
        <f>IF(J33=Stand!J33,"S",IF(J33=Double!J33,"D",IF(J33=Surrender!J33,"R","H")))</f>
        <v/>
      </c>
      <c r="W33" s="2">
        <f>IF(K33=Stand!K33,"S",IF(K33=Double!K33,"D",IF(K33=Surrender!K33,"R","H")))</f>
        <v/>
      </c>
    </row>
    <row r="34" ht="12.5" customHeight="1" s="12">
      <c r="A34" s="5" t="n">
        <v>14</v>
      </c>
      <c r="B34" s="5">
        <f>MAX(Hit!B34,Stand!B34,Double!B34,Surrender!B34)</f>
        <v/>
      </c>
      <c r="C34" s="5">
        <f>MAX(Hit!C34,Stand!C34,Double!C34,Surrender!C34)</f>
        <v/>
      </c>
      <c r="D34" s="5">
        <f>MAX(Hit!D34,Stand!D34,Double!D34,Surrender!D34)</f>
        <v/>
      </c>
      <c r="E34" s="5">
        <f>MAX(Hit!E34,Stand!E34,Double!E34,Surrender!E34)</f>
        <v/>
      </c>
      <c r="F34" s="5">
        <f>MAX(Hit!F34,Stand!F34,Double!F34,Surrender!F34)</f>
        <v/>
      </c>
      <c r="G34" s="5">
        <f>MAX(Hit!G34,Stand!G34,Double!G34,Surrender!G34)</f>
        <v/>
      </c>
      <c r="H34" s="5">
        <f>MAX(Hit!H34,Stand!H34,Double!H34,Surrender!H34)</f>
        <v/>
      </c>
      <c r="I34" s="5">
        <f>MAX(Hit!I34,Stand!I34,Double!I34,Surrender!I34)</f>
        <v/>
      </c>
      <c r="J34" s="5">
        <f>MAX(Hit!J34,Stand!J34,Double!J34,Surrender!J34)</f>
        <v/>
      </c>
      <c r="K34" s="5">
        <f>MAX(Hit!K34,Stand!K34,Double!K34,Surrender!K34)</f>
        <v/>
      </c>
      <c r="M34" s="2" t="n">
        <v>14</v>
      </c>
      <c r="N34" s="2">
        <f>IF(B34=Stand!B34,"S",IF(B34=Double!B34,"D",IF(B34=Surrender!B34,"R","H")))</f>
        <v/>
      </c>
      <c r="O34" s="2">
        <f>IF(C34=Stand!C34,"S",IF(C34=Double!C34,"D",IF(C34=Surrender!C34,"R","H")))</f>
        <v/>
      </c>
      <c r="P34" s="2">
        <f>IF(D34=Stand!D34,"S",IF(D34=Double!D34,"D",IF(D34=Surrender!D34,"R","H")))</f>
        <v/>
      </c>
      <c r="Q34" s="2">
        <f>IF(E34=Stand!E34,"S",IF(E34=Double!E34,"D",IF(E34=Surrender!E34,"R","H")))</f>
        <v/>
      </c>
      <c r="R34" s="2">
        <f>IF(F34=Stand!F34,"S",IF(F34=Double!F34,"D",IF(F34=Surrender!F34,"R","H")))</f>
        <v/>
      </c>
      <c r="S34" s="2">
        <f>IF(G34=Stand!G34,"S",IF(G34=Double!G34,"D",IF(G34=Surrender!G34,"R","H")))</f>
        <v/>
      </c>
      <c r="T34" s="2">
        <f>IF(H34=Stand!H34,"S",IF(H34=Double!H34,"D",IF(H34=Surrender!H34,"R","H")))</f>
        <v/>
      </c>
      <c r="U34" s="2">
        <f>IF(I34=Stand!I34,"S",IF(I34=Double!I34,"D",IF(I34=Surrender!I34,"R","H")))</f>
        <v/>
      </c>
      <c r="V34" s="2">
        <f>IF(J34=Stand!J34,"S",IF(J34=Double!J34,"D",IF(J34=Surrender!J34,"R","H")))</f>
        <v/>
      </c>
      <c r="W34" s="2">
        <f>IF(K34=Stand!K34,"S",IF(K34=Double!K34,"D",IF(K34=Surrender!K34,"R","H")))</f>
        <v/>
      </c>
    </row>
    <row r="35" ht="12.5" customHeight="1" s="12">
      <c r="A35" s="5" t="n">
        <v>15</v>
      </c>
      <c r="B35" s="5">
        <f>MAX(Hit!B35,Stand!B35,Double!B35,Surrender!B35)</f>
        <v/>
      </c>
      <c r="C35" s="5">
        <f>MAX(Hit!C35,Stand!C35,Double!C35,Surrender!C35)</f>
        <v/>
      </c>
      <c r="D35" s="5">
        <f>MAX(Hit!D35,Stand!D35,Double!D35,Surrender!D35)</f>
        <v/>
      </c>
      <c r="E35" s="5">
        <f>MAX(Hit!E35,Stand!E35,Double!E35,Surrender!E35)</f>
        <v/>
      </c>
      <c r="F35" s="5">
        <f>MAX(Hit!F35,Stand!F35,Double!F35,Surrender!F35)</f>
        <v/>
      </c>
      <c r="G35" s="5">
        <f>MAX(Hit!G35,Stand!G35,Double!G35,Surrender!G35)</f>
        <v/>
      </c>
      <c r="H35" s="5">
        <f>MAX(Hit!H35,Stand!H35,Double!H35,Surrender!H35)</f>
        <v/>
      </c>
      <c r="I35" s="5">
        <f>MAX(Hit!I35,Stand!I35,Double!I35,Surrender!I35)</f>
        <v/>
      </c>
      <c r="J35" s="5">
        <f>MAX(Hit!J35,Stand!J35,Double!J35,Surrender!J35)</f>
        <v/>
      </c>
      <c r="K35" s="5">
        <f>MAX(Hit!K35,Stand!K35,Double!K35,Surrender!K35)</f>
        <v/>
      </c>
      <c r="M35" s="2" t="n">
        <v>15</v>
      </c>
      <c r="N35" s="2">
        <f>IF(B35=Stand!B35,"S",IF(B35=Double!B35,"D",IF(B35=Surrender!B35,"R","H")))</f>
        <v/>
      </c>
      <c r="O35" s="2">
        <f>IF(C35=Stand!C35,"S",IF(C35=Double!C35,"D",IF(C35=Surrender!C35,"R","H")))</f>
        <v/>
      </c>
      <c r="P35" s="2">
        <f>IF(D35=Stand!D35,"S",IF(D35=Double!D35,"D",IF(D35=Surrender!D35,"R","H")))</f>
        <v/>
      </c>
      <c r="Q35" s="2">
        <f>IF(E35=Stand!E35,"S",IF(E35=Double!E35,"D",IF(E35=Surrender!E35,"R","H")))</f>
        <v/>
      </c>
      <c r="R35" s="2">
        <f>IF(F35=Stand!F35,"S",IF(F35=Double!F35,"D",IF(F35=Surrender!F35,"R","H")))</f>
        <v/>
      </c>
      <c r="S35" s="2">
        <f>IF(G35=Stand!G35,"S",IF(G35=Double!G35,"D",IF(G35=Surrender!G35,"R","H")))</f>
        <v/>
      </c>
      <c r="T35" s="2">
        <f>IF(H35=Stand!H35,"S",IF(H35=Double!H35,"D",IF(H35=Surrender!H35,"R","H")))</f>
        <v/>
      </c>
      <c r="U35" s="2">
        <f>IF(I35=Stand!I35,"S",IF(I35=Double!I35,"D",IF(I35=Surrender!I35,"R","H")))</f>
        <v/>
      </c>
      <c r="V35" s="2">
        <f>IF(J35=Stand!J35,"S",IF(J35=Double!J35,"D",IF(J35=Surrender!J35,"R","H")))</f>
        <v/>
      </c>
      <c r="W35" s="2">
        <f>IF(K35=Stand!K35,"S",IF(K35=Double!K35,"D",IF(K35=Surrender!K35,"R","H")))</f>
        <v/>
      </c>
    </row>
    <row r="36" ht="12.5" customHeight="1" s="12">
      <c r="A36" s="5" t="n">
        <v>16</v>
      </c>
      <c r="B36" s="5">
        <f>MAX(Hit!B36,Stand!B36,Double!B36,Surrender!B36)</f>
        <v/>
      </c>
      <c r="C36" s="5">
        <f>MAX(Hit!C36,Stand!C36,Double!C36,Surrender!C36)</f>
        <v/>
      </c>
      <c r="D36" s="5">
        <f>MAX(Hit!D36,Stand!D36,Double!D36,Surrender!D36)</f>
        <v/>
      </c>
      <c r="E36" s="5">
        <f>MAX(Hit!E36,Stand!E36,Double!E36,Surrender!E36)</f>
        <v/>
      </c>
      <c r="F36" s="5">
        <f>MAX(Hit!F36,Stand!F36,Double!F36,Surrender!F36)</f>
        <v/>
      </c>
      <c r="G36" s="5">
        <f>MAX(Hit!G36,Stand!G36,Double!G36,Surrender!G36)</f>
        <v/>
      </c>
      <c r="H36" s="5">
        <f>MAX(Hit!H36,Stand!H36,Double!H36,Surrender!H36)</f>
        <v/>
      </c>
      <c r="I36" s="5">
        <f>MAX(Hit!I36,Stand!I36,Double!I36,Surrender!I36)</f>
        <v/>
      </c>
      <c r="J36" s="5">
        <f>MAX(Hit!J36,Stand!J36,Double!J36,Surrender!J36)</f>
        <v/>
      </c>
      <c r="K36" s="5">
        <f>MAX(Hit!K36,Stand!K36,Double!K36,Surrender!K36)</f>
        <v/>
      </c>
      <c r="M36" s="2" t="n">
        <v>16</v>
      </c>
      <c r="N36" s="2">
        <f>IF(B36=Stand!B36,"S",IF(B36=Double!B36,"D",IF(B36=Surrender!B36,"R","H")))</f>
        <v/>
      </c>
      <c r="O36" s="2">
        <f>IF(C36=Stand!C36,"S",IF(C36=Double!C36,"D",IF(C36=Surrender!C36,"R","H")))</f>
        <v/>
      </c>
      <c r="P36" s="2">
        <f>IF(D36=Stand!D36,"S",IF(D36=Double!D36,"D",IF(D36=Surrender!D36,"R","H")))</f>
        <v/>
      </c>
      <c r="Q36" s="2">
        <f>IF(E36=Stand!E36,"S",IF(E36=Double!E36,"D",IF(E36=Surrender!E36,"R","H")))</f>
        <v/>
      </c>
      <c r="R36" s="2">
        <f>IF(F36=Stand!F36,"S",IF(F36=Double!F36,"D",IF(F36=Surrender!F36,"R","H")))</f>
        <v/>
      </c>
      <c r="S36" s="2">
        <f>IF(G36=Stand!G36,"S",IF(G36=Double!G36,"D",IF(G36=Surrender!G36,"R","H")))</f>
        <v/>
      </c>
      <c r="T36" s="2">
        <f>IF(H36=Stand!H36,"S",IF(H36=Double!H36,"D",IF(H36=Surrender!H36,"R","H")))</f>
        <v/>
      </c>
      <c r="U36" s="2">
        <f>IF(I36=Stand!I36,"S",IF(I36=Double!I36,"D",IF(I36=Surrender!I36,"R","H")))</f>
        <v/>
      </c>
      <c r="V36" s="2">
        <f>IF(J36=Stand!J36,"S",IF(J36=Double!J36,"D",IF(J36=Surrender!J36,"R","H")))</f>
        <v/>
      </c>
      <c r="W36" s="2">
        <f>IF(K36=Stand!K36,"S",IF(K36=Double!K36,"D",IF(K36=Surrender!K36,"R","H")))</f>
        <v/>
      </c>
    </row>
    <row r="37" ht="12.5" customHeight="1" s="12">
      <c r="A37" s="5" t="n">
        <v>17</v>
      </c>
      <c r="B37" s="5">
        <f>MAX(Hit!B37,Stand!B37,Double!B37,Surrender!B37)</f>
        <v/>
      </c>
      <c r="C37" s="5">
        <f>MAX(Hit!C37,Stand!C37,Double!C37,Surrender!C37)</f>
        <v/>
      </c>
      <c r="D37" s="5">
        <f>MAX(Hit!D37,Stand!D37,Double!D37,Surrender!D37)</f>
        <v/>
      </c>
      <c r="E37" s="5">
        <f>MAX(Hit!E37,Stand!E37,Double!E37,Surrender!E37)</f>
        <v/>
      </c>
      <c r="F37" s="5">
        <f>MAX(Hit!F37,Stand!F37,Double!F37,Surrender!F37)</f>
        <v/>
      </c>
      <c r="G37" s="5">
        <f>MAX(Hit!G37,Stand!G37,Double!G37,Surrender!G37)</f>
        <v/>
      </c>
      <c r="H37" s="5">
        <f>MAX(Hit!H37,Stand!H37,Double!H37,Surrender!H37)</f>
        <v/>
      </c>
      <c r="I37" s="5">
        <f>MAX(Hit!I37,Stand!I37,Double!I37,Surrender!I37)</f>
        <v/>
      </c>
      <c r="J37" s="5">
        <f>MAX(Hit!J37,Stand!J37,Double!J37,Surrender!J37)</f>
        <v/>
      </c>
      <c r="K37" s="5">
        <f>MAX(Hit!K37,Stand!K37,Double!K37,Surrender!K37)</f>
        <v/>
      </c>
      <c r="M37" s="2" t="n">
        <v>17</v>
      </c>
      <c r="N37" s="2">
        <f>IF(B37=Stand!B37,"S",IF(B37=Double!B37,"D",IF(B37=Surrender!B37,"R","H")))</f>
        <v/>
      </c>
      <c r="O37" s="2">
        <f>IF(C37=Stand!C37,"S",IF(C37=Double!C37,"D",IF(C37=Surrender!C37,"R","H")))</f>
        <v/>
      </c>
      <c r="P37" s="2">
        <f>IF(D37=Stand!D37,"S",IF(D37=Double!D37,"D",IF(D37=Surrender!D37,"R","H")))</f>
        <v/>
      </c>
      <c r="Q37" s="2">
        <f>IF(E37=Stand!E37,"S",IF(E37=Double!E37,"D",IF(E37=Surrender!E37,"R","H")))</f>
        <v/>
      </c>
      <c r="R37" s="2">
        <f>IF(F37=Stand!F37,"S",IF(F37=Double!F37,"D",IF(F37=Surrender!F37,"R","H")))</f>
        <v/>
      </c>
      <c r="S37" s="2">
        <f>IF(G37=Stand!G37,"S",IF(G37=Double!G37,"D",IF(G37=Surrender!G37,"R","H")))</f>
        <v/>
      </c>
      <c r="T37" s="2">
        <f>IF(H37=Stand!H37,"S",IF(H37=Double!H37,"D",IF(H37=Surrender!H37,"R","H")))</f>
        <v/>
      </c>
      <c r="U37" s="2">
        <f>IF(I37=Stand!I37,"S",IF(I37=Double!I37,"D",IF(I37=Surrender!I37,"R","H")))</f>
        <v/>
      </c>
      <c r="V37" s="2">
        <f>IF(J37=Stand!J37,"S",IF(J37=Double!J37,"D",IF(J37=Surrender!J37,"R","H")))</f>
        <v/>
      </c>
      <c r="W37" s="2">
        <f>IF(K37=Stand!K37,"S",IF(K37=Double!K37,"D",IF(K37=Surrender!K37,"R","H")))</f>
        <v/>
      </c>
    </row>
    <row r="38" ht="12.5" customHeight="1" s="12">
      <c r="A38" s="5" t="n">
        <v>18</v>
      </c>
      <c r="B38" s="5">
        <f>MAX(Hit!B38,Stand!B38,Double!B38,Surrender!B38)</f>
        <v/>
      </c>
      <c r="C38" s="5">
        <f>MAX(Hit!C38,Stand!C38,Double!C38,Surrender!C38)</f>
        <v/>
      </c>
      <c r="D38" s="5">
        <f>MAX(Hit!D38,Stand!D38,Double!D38,Surrender!D38)</f>
        <v/>
      </c>
      <c r="E38" s="5">
        <f>MAX(Hit!E38,Stand!E38,Double!E38,Surrender!E38)</f>
        <v/>
      </c>
      <c r="F38" s="5">
        <f>MAX(Hit!F38,Stand!F38,Double!F38,Surrender!F38)</f>
        <v/>
      </c>
      <c r="G38" s="5">
        <f>MAX(Hit!G38,Stand!G38,Double!G38,Surrender!G38)</f>
        <v/>
      </c>
      <c r="H38" s="5">
        <f>MAX(Hit!H38,Stand!H38,Double!H38,Surrender!H38)</f>
        <v/>
      </c>
      <c r="I38" s="5">
        <f>MAX(Hit!I38,Stand!I38,Double!I38,Surrender!I38)</f>
        <v/>
      </c>
      <c r="J38" s="5">
        <f>MAX(Hit!J38,Stand!J38,Double!J38,Surrender!J38)</f>
        <v/>
      </c>
      <c r="K38" s="5">
        <f>MAX(Hit!K38,Stand!K38,Double!K38,Surrender!K38)</f>
        <v/>
      </c>
      <c r="M38" s="2" t="n">
        <v>18</v>
      </c>
      <c r="N38" s="2">
        <f>IF(B38=Stand!B38,"S",IF(B38=Double!B38,"D",IF(B38=Surrender!B38,"R","H")))</f>
        <v/>
      </c>
      <c r="O38" s="2">
        <f>IF(C38=Stand!C38,"S",IF(C38=Double!C38,"D",IF(C38=Surrender!C38,"R","H")))</f>
        <v/>
      </c>
      <c r="P38" s="2">
        <f>IF(D38=Stand!D38,"S",IF(D38=Double!D38,"D",IF(D38=Surrender!D38,"R","H")))</f>
        <v/>
      </c>
      <c r="Q38" s="2">
        <f>IF(E38=Stand!E38,"S",IF(E38=Double!E38,"D",IF(E38=Surrender!E38,"R","H")))</f>
        <v/>
      </c>
      <c r="R38" s="2">
        <f>IF(F38=Stand!F38,"S",IF(F38=Double!F38,"D",IF(F38=Surrender!F38,"R","H")))</f>
        <v/>
      </c>
      <c r="S38" s="2">
        <f>IF(G38=Stand!G38,"S",IF(G38=Double!G38,"D",IF(G38=Surrender!G38,"R","H")))</f>
        <v/>
      </c>
      <c r="T38" s="2">
        <f>IF(H38=Stand!H38,"S",IF(H38=Double!H38,"D",IF(H38=Surrender!H38,"R","H")))</f>
        <v/>
      </c>
      <c r="U38" s="2">
        <f>IF(I38=Stand!I38,"S",IF(I38=Double!I38,"D",IF(I38=Surrender!I38,"R","H")))</f>
        <v/>
      </c>
      <c r="V38" s="2">
        <f>IF(J38=Stand!J38,"S",IF(J38=Double!J38,"D",IF(J38=Surrender!J38,"R","H")))</f>
        <v/>
      </c>
      <c r="W38" s="2">
        <f>IF(K38=Stand!K38,"S",IF(K38=Double!K38,"D",IF(K38=Surrender!K38,"R","H")))</f>
        <v/>
      </c>
    </row>
    <row r="39" ht="12.5" customHeight="1" s="12">
      <c r="A39" s="5" t="n">
        <v>19</v>
      </c>
      <c r="B39" s="5">
        <f>MAX(Hit!B39,Stand!B39,Double!B39,Surrender!B39)</f>
        <v/>
      </c>
      <c r="C39" s="5">
        <f>MAX(Hit!C39,Stand!C39,Double!C39,Surrender!C39)</f>
        <v/>
      </c>
      <c r="D39" s="5">
        <f>MAX(Hit!D39,Stand!D39,Double!D39,Surrender!D39)</f>
        <v/>
      </c>
      <c r="E39" s="5">
        <f>MAX(Hit!E39,Stand!E39,Double!E39,Surrender!E39)</f>
        <v/>
      </c>
      <c r="F39" s="5">
        <f>MAX(Hit!F39,Stand!F39,Double!F39,Surrender!F39)</f>
        <v/>
      </c>
      <c r="G39" s="5">
        <f>MAX(Hit!G39,Stand!G39,Double!G39,Surrender!G39)</f>
        <v/>
      </c>
      <c r="H39" s="5">
        <f>MAX(Hit!H39,Stand!H39,Double!H39,Surrender!H39)</f>
        <v/>
      </c>
      <c r="I39" s="5">
        <f>MAX(Hit!I39,Stand!I39,Double!I39,Surrender!I39)</f>
        <v/>
      </c>
      <c r="J39" s="5">
        <f>MAX(Hit!J39,Stand!J39,Double!J39,Surrender!J39)</f>
        <v/>
      </c>
      <c r="K39" s="5">
        <f>MAX(Hit!K39,Stand!K39,Double!K39,Surrender!K39)</f>
        <v/>
      </c>
      <c r="M39" s="2" t="n">
        <v>19</v>
      </c>
      <c r="N39" s="2">
        <f>IF(B39=Stand!B39,"S",IF(B39=Double!B39,"D",IF(B39=Surrender!B39,"R","H")))</f>
        <v/>
      </c>
      <c r="O39" s="2">
        <f>IF(C39=Stand!C39,"S",IF(C39=Double!C39,"D",IF(C39=Surrender!C39,"R","H")))</f>
        <v/>
      </c>
      <c r="P39" s="2">
        <f>IF(D39=Stand!D39,"S",IF(D39=Double!D39,"D",IF(D39=Surrender!D39,"R","H")))</f>
        <v/>
      </c>
      <c r="Q39" s="2">
        <f>IF(E39=Stand!E39,"S",IF(E39=Double!E39,"D",IF(E39=Surrender!E39,"R","H")))</f>
        <v/>
      </c>
      <c r="R39" s="2">
        <f>IF(F39=Stand!F39,"S",IF(F39=Double!F39,"D",IF(F39=Surrender!F39,"R","H")))</f>
        <v/>
      </c>
      <c r="S39" s="2">
        <f>IF(G39=Stand!G39,"S",IF(G39=Double!G39,"D",IF(G39=Surrender!G39,"R","H")))</f>
        <v/>
      </c>
      <c r="T39" s="2">
        <f>IF(H39=Stand!H39,"S",IF(H39=Double!H39,"D",IF(H39=Surrender!H39,"R","H")))</f>
        <v/>
      </c>
      <c r="U39" s="2">
        <f>IF(I39=Stand!I39,"S",IF(I39=Double!I39,"D",IF(I39=Surrender!I39,"R","H")))</f>
        <v/>
      </c>
      <c r="V39" s="2">
        <f>IF(J39=Stand!J39,"S",IF(J39=Double!J39,"D",IF(J39=Surrender!J39,"R","H")))</f>
        <v/>
      </c>
      <c r="W39" s="2">
        <f>IF(K39=Stand!K39,"S",IF(K39=Double!K39,"D",IF(K39=Surrender!K39,"R","H")))</f>
        <v/>
      </c>
    </row>
    <row r="40" ht="12.5" customHeight="1" s="12">
      <c r="A40" s="5" t="n">
        <v>20</v>
      </c>
      <c r="B40" s="5">
        <f>MAX(Hit!B40,Stand!B40,Double!B40,Surrender!B40)</f>
        <v/>
      </c>
      <c r="C40" s="5">
        <f>MAX(Hit!C40,Stand!C40,Double!C40,Surrender!C40)</f>
        <v/>
      </c>
      <c r="D40" s="5">
        <f>MAX(Hit!D40,Stand!D40,Double!D40,Surrender!D40)</f>
        <v/>
      </c>
      <c r="E40" s="5">
        <f>MAX(Hit!E40,Stand!E40,Double!E40,Surrender!E40)</f>
        <v/>
      </c>
      <c r="F40" s="5">
        <f>MAX(Hit!F40,Stand!F40,Double!F40,Surrender!F40)</f>
        <v/>
      </c>
      <c r="G40" s="5">
        <f>MAX(Hit!G40,Stand!G40,Double!G40,Surrender!G40)</f>
        <v/>
      </c>
      <c r="H40" s="5">
        <f>MAX(Hit!H40,Stand!H40,Double!H40,Surrender!H40)</f>
        <v/>
      </c>
      <c r="I40" s="5">
        <f>MAX(Hit!I40,Stand!I40,Double!I40,Surrender!I40)</f>
        <v/>
      </c>
      <c r="J40" s="5">
        <f>MAX(Hit!J40,Stand!J40,Double!J40,Surrender!J40)</f>
        <v/>
      </c>
      <c r="K40" s="5">
        <f>MAX(Hit!K40,Stand!K40,Double!K40,Surrender!K40)</f>
        <v/>
      </c>
      <c r="M40" s="2" t="n">
        <v>20</v>
      </c>
      <c r="N40" s="2">
        <f>IF(B40=Stand!B40,"S",IF(B40=Double!B40,"D",IF(B40=Surrender!B40,"R","H")))</f>
        <v/>
      </c>
      <c r="O40" s="2">
        <f>IF(C40=Stand!C40,"S",IF(C40=Double!C40,"D",IF(C40=Surrender!C40,"R","H")))</f>
        <v/>
      </c>
      <c r="P40" s="2">
        <f>IF(D40=Stand!D40,"S",IF(D40=Double!D40,"D",IF(D40=Surrender!D40,"R","H")))</f>
        <v/>
      </c>
      <c r="Q40" s="2">
        <f>IF(E40=Stand!E40,"S",IF(E40=Double!E40,"D",IF(E40=Surrender!E40,"R","H")))</f>
        <v/>
      </c>
      <c r="R40" s="2">
        <f>IF(F40=Stand!F40,"S",IF(F40=Double!F40,"D",IF(F40=Surrender!F40,"R","H")))</f>
        <v/>
      </c>
      <c r="S40" s="2">
        <f>IF(G40=Stand!G40,"S",IF(G40=Double!G40,"D",IF(G40=Surrender!G40,"R","H")))</f>
        <v/>
      </c>
      <c r="T40" s="2">
        <f>IF(H40=Stand!H40,"S",IF(H40=Double!H40,"D",IF(H40=Surrender!H40,"R","H")))</f>
        <v/>
      </c>
      <c r="U40" s="2">
        <f>IF(I40=Stand!I40,"S",IF(I40=Double!I40,"D",IF(I40=Surrender!I40,"R","H")))</f>
        <v/>
      </c>
      <c r="V40" s="2">
        <f>IF(J40=Stand!J40,"S",IF(J40=Double!J40,"D",IF(J40=Surrender!J40,"R","H")))</f>
        <v/>
      </c>
      <c r="W40" s="2">
        <f>IF(K40=Stand!K40,"S",IF(K40=Double!K40,"D",IF(K40=Surrender!K40,"R","H")))</f>
        <v/>
      </c>
    </row>
    <row r="41" ht="12.5" customHeight="1" s="12">
      <c r="A41" s="5" t="n">
        <v>21</v>
      </c>
      <c r="B41" s="5">
        <f>MAX(Hit!B41,Stand!B41,Double!B41,Surrender!B41)</f>
        <v/>
      </c>
      <c r="C41" s="5">
        <f>MAX(Hit!C41,Stand!C41,Double!C41,Surrender!C41)</f>
        <v/>
      </c>
      <c r="D41" s="5">
        <f>MAX(Hit!D41,Stand!D41,Double!D41,Surrender!D41)</f>
        <v/>
      </c>
      <c r="E41" s="5">
        <f>MAX(Hit!E41,Stand!E41,Double!E41,Surrender!E41)</f>
        <v/>
      </c>
      <c r="F41" s="5">
        <f>MAX(Hit!F41,Stand!F41,Double!F41,Surrender!F41)</f>
        <v/>
      </c>
      <c r="G41" s="5">
        <f>MAX(Hit!G41,Stand!G41,Double!G41,Surrender!G41)</f>
        <v/>
      </c>
      <c r="H41" s="5">
        <f>MAX(Hit!H41,Stand!H41,Double!H41,Surrender!H41)</f>
        <v/>
      </c>
      <c r="I41" s="5">
        <f>MAX(Hit!I41,Stand!I41,Double!I41,Surrender!I41)</f>
        <v/>
      </c>
      <c r="J41" s="5">
        <f>MAX(Hit!J41,Stand!J41,Double!J41,Surrender!J41)</f>
        <v/>
      </c>
      <c r="K41" s="5">
        <f>MAX(Hit!K41,Stand!K41,Double!K41,Surrender!K41)</f>
        <v/>
      </c>
      <c r="M41" s="2" t="n">
        <v>21</v>
      </c>
      <c r="N41" s="2">
        <f>IF(B41=Stand!B41,"S",IF(B41=Double!B41,"D",IF(B41=Surrender!B41,"R","H")))</f>
        <v/>
      </c>
      <c r="O41" s="2">
        <f>IF(C41=Stand!C41,"S",IF(C41=Double!C41,"D",IF(C41=Surrender!C41,"R","H")))</f>
        <v/>
      </c>
      <c r="P41" s="2">
        <f>IF(D41=Stand!D41,"S",IF(D41=Double!D41,"D",IF(D41=Surrender!D41,"R","H")))</f>
        <v/>
      </c>
      <c r="Q41" s="2">
        <f>IF(E41=Stand!E41,"S",IF(E41=Double!E41,"D",IF(E41=Surrender!E41,"R","H")))</f>
        <v/>
      </c>
      <c r="R41" s="2">
        <f>IF(F41=Stand!F41,"S",IF(F41=Double!F41,"D",IF(F41=Surrender!F41,"R","H")))</f>
        <v/>
      </c>
      <c r="S41" s="2">
        <f>IF(G41=Stand!G41,"S",IF(G41=Double!G41,"D",IF(G41=Surrender!G41,"R","H")))</f>
        <v/>
      </c>
      <c r="T41" s="2">
        <f>IF(H41=Stand!H41,"S",IF(H41=Double!H41,"D",IF(H41=Surrender!H41,"R","H")))</f>
        <v/>
      </c>
      <c r="U41" s="2">
        <f>IF(I41=Stand!I41,"S",IF(I41=Double!I41,"D",IF(I41=Surrender!I41,"R","H")))</f>
        <v/>
      </c>
      <c r="V41" s="2">
        <f>IF(J41=Stand!J41,"S",IF(J41=Double!J41,"D",IF(J41=Surrender!J41,"R","H")))</f>
        <v/>
      </c>
      <c r="W41" s="2">
        <f>IF(K41=Stand!K41,"S",IF(K41=Double!K41,"D",IF(K41=Surrender!K41,"R","H")))</f>
        <v/>
      </c>
    </row>
    <row r="42" ht="12.5" customHeight="1" s="12">
      <c r="A42" s="5" t="n">
        <v>22</v>
      </c>
      <c r="B42" s="5">
        <f>MAX(Hit!B42,Stand!B42,Double!B42,Surrender!B42)</f>
        <v/>
      </c>
      <c r="C42" s="5">
        <f>MAX(Hit!C42,Stand!C42,Double!C42,Surrender!C42)</f>
        <v/>
      </c>
      <c r="D42" s="5">
        <f>MAX(Hit!D42,Stand!D42,Double!D42,Surrender!D42)</f>
        <v/>
      </c>
      <c r="E42" s="5">
        <f>MAX(Hit!E42,Stand!E42,Double!E42,Surrender!E42)</f>
        <v/>
      </c>
      <c r="F42" s="5">
        <f>MAX(Hit!F42,Stand!F42,Double!F42,Surrender!F42)</f>
        <v/>
      </c>
      <c r="G42" s="5">
        <f>MAX(Hit!G42,Stand!G42,Double!G42,Surrender!G42)</f>
        <v/>
      </c>
      <c r="H42" s="5">
        <f>MAX(Hit!H42,Stand!H42,Double!H42,Surrender!H42)</f>
        <v/>
      </c>
      <c r="I42" s="5">
        <f>MAX(Hit!I42,Stand!I42,Double!I42,Surrender!I42)</f>
        <v/>
      </c>
      <c r="J42" s="5">
        <f>MAX(Hit!J42,Stand!J42,Double!J42,Surrender!J42)</f>
        <v/>
      </c>
      <c r="K42" s="5">
        <f>MAX(Hit!K42,Stand!K42,Double!K42,Surrender!K42)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MAX(Hit!B43,Stand!B43,Double!B43,Surrender!B43)</f>
        <v/>
      </c>
      <c r="C43" s="5">
        <f>MAX(Hit!C43,Stand!C43,Double!C43,Surrender!C43)</f>
        <v/>
      </c>
      <c r="D43" s="5">
        <f>MAX(Hit!D43,Stand!D43,Double!D43,Surrender!D43)</f>
        <v/>
      </c>
      <c r="E43" s="5">
        <f>MAX(Hit!E43,Stand!E43,Double!E43,Surrender!E43)</f>
        <v/>
      </c>
      <c r="F43" s="5">
        <f>MAX(Hit!F43,Stand!F43,Double!F43,Surrender!F43)</f>
        <v/>
      </c>
      <c r="G43" s="5">
        <f>MAX(Hit!G43,Stand!G43,Double!G43,Surrender!G43)</f>
        <v/>
      </c>
      <c r="H43" s="5">
        <f>MAX(Hit!H43,Stand!H43,Double!H43,Surrender!H43)</f>
        <v/>
      </c>
      <c r="I43" s="5">
        <f>MAX(Hit!I43,Stand!I43,Double!I43,Surrender!I43)</f>
        <v/>
      </c>
      <c r="J43" s="5">
        <f>MAX(Hit!J43,Stand!J43,Double!J43,Surrender!J43)</f>
        <v/>
      </c>
      <c r="K43" s="5">
        <f>MAX(Hit!K43,Stand!K43,Double!K43,Surrender!K43)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MAX(Hit!B44,Stand!B44,Double!B44,Surrender!B44)</f>
        <v/>
      </c>
      <c r="C44" s="5">
        <f>MAX(Hit!C44,Stand!C44,Double!C44,Surrender!C44)</f>
        <v/>
      </c>
      <c r="D44" s="5">
        <f>MAX(Hit!D44,Stand!D44,Double!D44,Surrender!D44)</f>
        <v/>
      </c>
      <c r="E44" s="5">
        <f>MAX(Hit!E44,Stand!E44,Double!E44,Surrender!E44)</f>
        <v/>
      </c>
      <c r="F44" s="5">
        <f>MAX(Hit!F44,Stand!F44,Double!F44,Surrender!F44)</f>
        <v/>
      </c>
      <c r="G44" s="5">
        <f>MAX(Hit!G44,Stand!G44,Double!G44,Surrender!G44)</f>
        <v/>
      </c>
      <c r="H44" s="5">
        <f>MAX(Hit!H44,Stand!H44,Double!H44,Surrender!H44)</f>
        <v/>
      </c>
      <c r="I44" s="5">
        <f>MAX(Hit!I44,Stand!I44,Double!I44,Surrender!I44)</f>
        <v/>
      </c>
      <c r="J44" s="5">
        <f>MAX(Hit!J44,Stand!J44,Double!J44,Surrender!J44)</f>
        <v/>
      </c>
      <c r="K44" s="5">
        <f>MAX(Hit!K44,Stand!K44,Double!K44,Surrender!K44)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MAX(Hit!B45,Stand!B45,Double!B45,Surrender!B45)</f>
        <v/>
      </c>
      <c r="C45" s="5">
        <f>MAX(Hit!C45,Stand!C45,Double!C45,Surrender!C45)</f>
        <v/>
      </c>
      <c r="D45" s="5">
        <f>MAX(Hit!D45,Stand!D45,Double!D45,Surrender!D45)</f>
        <v/>
      </c>
      <c r="E45" s="5">
        <f>MAX(Hit!E45,Stand!E45,Double!E45,Surrender!E45)</f>
        <v/>
      </c>
      <c r="F45" s="5">
        <f>MAX(Hit!F45,Stand!F45,Double!F45,Surrender!F45)</f>
        <v/>
      </c>
      <c r="G45" s="5">
        <f>MAX(Hit!G45,Stand!G45,Double!G45,Surrender!G45)</f>
        <v/>
      </c>
      <c r="H45" s="5">
        <f>MAX(Hit!H45,Stand!H45,Double!H45,Surrender!H45)</f>
        <v/>
      </c>
      <c r="I45" s="5">
        <f>MAX(Hit!I45,Stand!I45,Double!I45,Surrender!I45)</f>
        <v/>
      </c>
      <c r="J45" s="5">
        <f>MAX(Hit!J45,Stand!J45,Double!J45,Surrender!J45)</f>
        <v/>
      </c>
      <c r="K45" s="5">
        <f>MAX(Hit!K45,Stand!K45,Double!K45,Surrender!K45)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MAX(Hit!B46,Stand!B46,Double!B46,Surrender!B46)</f>
        <v/>
      </c>
      <c r="C46" s="5">
        <f>MAX(Hit!C46,Stand!C46,Double!C46,Surrender!C46)</f>
        <v/>
      </c>
      <c r="D46" s="5">
        <f>MAX(Hit!D46,Stand!D46,Double!D46,Surrender!D46)</f>
        <v/>
      </c>
      <c r="E46" s="5">
        <f>MAX(Hit!E46,Stand!E46,Double!E46,Surrender!E46)</f>
        <v/>
      </c>
      <c r="F46" s="5">
        <f>MAX(Hit!F46,Stand!F46,Double!F46,Surrender!F46)</f>
        <v/>
      </c>
      <c r="G46" s="5">
        <f>MAX(Hit!G46,Stand!G46,Double!G46,Surrender!G46)</f>
        <v/>
      </c>
      <c r="H46" s="5">
        <f>MAX(Hit!H46,Stand!H46,Double!H46,Surrender!H46)</f>
        <v/>
      </c>
      <c r="I46" s="5">
        <f>MAX(Hit!I46,Stand!I46,Double!I46,Surrender!I46)</f>
        <v/>
      </c>
      <c r="J46" s="5">
        <f>MAX(Hit!J46,Stand!J46,Double!J46,Surrender!J46)</f>
        <v/>
      </c>
      <c r="K46" s="5">
        <f>MAX(Hit!K46,Stand!K46,Double!K46,Surrender!K46)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MAX(Hit!B47,Stand!B47,Double!B47,Surrender!B47)</f>
        <v/>
      </c>
      <c r="C47" s="5">
        <f>MAX(Hit!C47,Stand!C47,Double!C47,Surrender!C47)</f>
        <v/>
      </c>
      <c r="D47" s="5">
        <f>MAX(Hit!D47,Stand!D47,Double!D47,Surrender!D47)</f>
        <v/>
      </c>
      <c r="E47" s="5">
        <f>MAX(Hit!E47,Stand!E47,Double!E47,Surrender!E47)</f>
        <v/>
      </c>
      <c r="F47" s="5">
        <f>MAX(Hit!F47,Stand!F47,Double!F47,Surrender!F47)</f>
        <v/>
      </c>
      <c r="G47" s="5">
        <f>MAX(Hit!G47,Stand!G47,Double!G47,Surrender!G47)</f>
        <v/>
      </c>
      <c r="H47" s="5">
        <f>MAX(Hit!H47,Stand!H47,Double!H47,Surrender!H47)</f>
        <v/>
      </c>
      <c r="I47" s="5">
        <f>MAX(Hit!I47,Stand!I47,Double!I47,Surrender!I47)</f>
        <v/>
      </c>
      <c r="J47" s="5">
        <f>MAX(Hit!J47,Stand!J47,Double!J47,Surrender!J47)</f>
        <v/>
      </c>
      <c r="K47" s="5">
        <f>MAX(Hit!K47,Stand!K47,Double!K47,Surrender!K47)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MAX(Hit!B48,Stand!B48,Double!B48,Surrender!B48)</f>
        <v/>
      </c>
      <c r="C48" s="5">
        <f>MAX(Hit!C48,Stand!C48,Double!C48,Surrender!C48)</f>
        <v/>
      </c>
      <c r="D48" s="5">
        <f>MAX(Hit!D48,Stand!D48,Double!D48,Surrender!D48)</f>
        <v/>
      </c>
      <c r="E48" s="5">
        <f>MAX(Hit!E48,Stand!E48,Double!E48,Surrender!E48)</f>
        <v/>
      </c>
      <c r="F48" s="5">
        <f>MAX(Hit!F48,Stand!F48,Double!F48,Surrender!F48)</f>
        <v/>
      </c>
      <c r="G48" s="5">
        <f>MAX(Hit!G48,Stand!G48,Double!G48,Surrender!G48)</f>
        <v/>
      </c>
      <c r="H48" s="5">
        <f>MAX(Hit!H48,Stand!H48,Double!H48,Surrender!H48)</f>
        <v/>
      </c>
      <c r="I48" s="5">
        <f>MAX(Hit!I48,Stand!I48,Double!I48,Surrender!I48)</f>
        <v/>
      </c>
      <c r="J48" s="5">
        <f>MAX(Hit!J48,Stand!J48,Double!J48,Surrender!J48)</f>
        <v/>
      </c>
      <c r="K48" s="5">
        <f>MAX(Hit!K48,Stand!K48,Double!K48,Surrender!K48)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MAX(Hit!B49,Stand!B49,Double!B49,Surrender!B49)</f>
        <v/>
      </c>
      <c r="C49" s="5">
        <f>MAX(Hit!C49,Stand!C49,Double!C49,Surrender!C49)</f>
        <v/>
      </c>
      <c r="D49" s="5">
        <f>MAX(Hit!D49,Stand!D49,Double!D49,Surrender!D49)</f>
        <v/>
      </c>
      <c r="E49" s="5">
        <f>MAX(Hit!E49,Stand!E49,Double!E49,Surrender!E49)</f>
        <v/>
      </c>
      <c r="F49" s="5">
        <f>MAX(Hit!F49,Stand!F49,Double!F49,Surrender!F49)</f>
        <v/>
      </c>
      <c r="G49" s="5">
        <f>MAX(Hit!G49,Stand!G49,Double!G49,Surrender!G49)</f>
        <v/>
      </c>
      <c r="H49" s="5">
        <f>MAX(Hit!H49,Stand!H49,Double!H49,Surrender!H49)</f>
        <v/>
      </c>
      <c r="I49" s="5">
        <f>MAX(Hit!I49,Stand!I49,Double!I49,Surrender!I49)</f>
        <v/>
      </c>
      <c r="J49" s="5">
        <f>MAX(Hit!J49,Stand!J49,Double!J49,Surrender!J49)</f>
        <v/>
      </c>
      <c r="K49" s="5">
        <f>MAX(Hit!K49,Stand!K49,Double!K49,Surrender!K49)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MAX(Hit!B50,Stand!B50,Double!B50,Surrender!B50)</f>
        <v/>
      </c>
      <c r="C50" s="5">
        <f>MAX(Hit!C50,Stand!C50,Double!C50,Surrender!C50)</f>
        <v/>
      </c>
      <c r="D50" s="5">
        <f>MAX(Hit!D50,Stand!D50,Double!D50,Surrender!D50)</f>
        <v/>
      </c>
      <c r="E50" s="5">
        <f>MAX(Hit!E50,Stand!E50,Double!E50,Surrender!E50)</f>
        <v/>
      </c>
      <c r="F50" s="5">
        <f>MAX(Hit!F50,Stand!F50,Double!F50,Surrender!F50)</f>
        <v/>
      </c>
      <c r="G50" s="5">
        <f>MAX(Hit!G50,Stand!G50,Double!G50,Surrender!G50)</f>
        <v/>
      </c>
      <c r="H50" s="5">
        <f>MAX(Hit!H50,Stand!H50,Double!H50,Surrender!H50)</f>
        <v/>
      </c>
      <c r="I50" s="5">
        <f>MAX(Hit!I50,Stand!I50,Double!I50,Surrender!I50)</f>
        <v/>
      </c>
      <c r="J50" s="5">
        <f>MAX(Hit!J50,Stand!J50,Double!J50,Surrender!J50)</f>
        <v/>
      </c>
      <c r="K50" s="5">
        <f>MAX(Hit!K50,Stand!K50,Double!K50,Surrender!K50)</f>
        <v/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MAX(Hit!B51,Stand!B51,Double!B51,Surrender!B51)</f>
        <v/>
      </c>
      <c r="C51" s="5">
        <f>MAX(Hit!C51,Stand!C51,Double!C51,Surrender!C51)</f>
        <v/>
      </c>
      <c r="D51" s="5">
        <f>MAX(Hit!D51,Stand!D51,Double!D51,Surrender!D51)</f>
        <v/>
      </c>
      <c r="E51" s="5">
        <f>MAX(Hit!E51,Stand!E51,Double!E51,Surrender!E51)</f>
        <v/>
      </c>
      <c r="F51" s="5">
        <f>MAX(Hit!F51,Stand!F51,Double!F51,Surrender!F51)</f>
        <v/>
      </c>
      <c r="G51" s="5">
        <f>MAX(Hit!G51,Stand!G51,Double!G51,Surrender!G51)</f>
        <v/>
      </c>
      <c r="H51" s="5">
        <f>MAX(Hit!H51,Stand!H51,Double!H51,Surrender!H51)</f>
        <v/>
      </c>
      <c r="I51" s="5">
        <f>MAX(Hit!I51,Stand!I51,Double!I51,Surrender!I51)</f>
        <v/>
      </c>
      <c r="J51" s="5">
        <f>MAX(Hit!J51,Stand!J51,Double!J51,Surrender!J51)</f>
        <v/>
      </c>
      <c r="K51" s="5">
        <f>MAX(Hit!K51,Stand!K51,Double!K51,Surrender!K51)</f>
        <v/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1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  <cfRule type="containsText" priority="4" operator="containsText" dxfId="0" text="R">
      <formula>NOT(ISERROR(SEARCH(("R"),(N1))))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Pair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2</v>
      </c>
      <c r="B2" s="5">
        <f>2*(SUM(HSD!B2:B9)+4*HSD!B10+HSD!B33)/13</f>
        <v/>
      </c>
      <c r="C2" s="5">
        <f>2*(SUM(HSD!C2:C9)+4*HSD!C10+HSD!C33)/13</f>
        <v/>
      </c>
      <c r="D2" s="5">
        <f>2*(SUM(HSD!D2:D9)+4*HSD!D10+HSD!D33)/13</f>
        <v/>
      </c>
      <c r="E2" s="5">
        <f>2*(SUM(HSD!E2:E9)+4*HSD!E10+HSD!E33)/13</f>
        <v/>
      </c>
      <c r="F2" s="5">
        <f>2*(SUM(HSD!F2:F9)+4*HSD!F10+HSD!F33)/13</f>
        <v/>
      </c>
      <c r="G2" s="5">
        <f>2*(SUM(HSD!G2:G9)+4*HSD!G10+HSD!G33)/13</f>
        <v/>
      </c>
      <c r="H2" s="5">
        <f>2*(SUM(HSD!H2:H9)+4*HSD!H10+HSD!H33)/13</f>
        <v/>
      </c>
      <c r="I2" s="5">
        <f>2*(SUM(HSD!I2:I9)+4*HSD!I10+HSD!I33)/13</f>
        <v/>
      </c>
      <c r="J2" s="5">
        <f>2*(SUM(HSD!J2:J9)+4*HSD!J10+HSD!J33)/13</f>
        <v/>
      </c>
      <c r="K2" s="5">
        <f>2*(SUM(HSD!K2:K9)+4*HSD!K10+HSD!K33)/13</f>
        <v/>
      </c>
    </row>
    <row r="3" ht="15.75" customHeight="1" s="12">
      <c r="A3" s="5" t="n">
        <v>3</v>
      </c>
      <c r="B3" s="5">
        <f>2*(SUM(HSD!B3:B10)+4*HSD!B11+HSD!B34)/13</f>
        <v/>
      </c>
      <c r="C3" s="5">
        <f>2*(SUM(HSD!C3:C10)+4*HSD!C11+HSD!C34)/13</f>
        <v/>
      </c>
      <c r="D3" s="5">
        <f>2*(SUM(HSD!D3:D10)+4*HSD!D11+HSD!D34)/13</f>
        <v/>
      </c>
      <c r="E3" s="5">
        <f>2*(SUM(HSD!E3:E10)+4*HSD!E11+HSD!E34)/13</f>
        <v/>
      </c>
      <c r="F3" s="5">
        <f>2*(SUM(HSD!F3:F10)+4*HSD!F11+HSD!F34)/13</f>
        <v/>
      </c>
      <c r="G3" s="5">
        <f>2*(SUM(HSD!G3:G10)+4*HSD!G11+HSD!G34)/13</f>
        <v/>
      </c>
      <c r="H3" s="5">
        <f>2*(SUM(HSD!H3:H10)+4*HSD!H11+HSD!H34)/13</f>
        <v/>
      </c>
      <c r="I3" s="5">
        <f>2*(SUM(HSD!I3:I10)+4*HSD!I11+HSD!I34)/13</f>
        <v/>
      </c>
      <c r="J3" s="5">
        <f>2*(SUM(HSD!J3:J10)+4*HSD!J11+HSD!J34)/13</f>
        <v/>
      </c>
      <c r="K3" s="5">
        <f>2*(SUM(HSD!K3:K10)+4*HSD!K11+HSD!K34)/13</f>
        <v/>
      </c>
    </row>
    <row r="4" ht="15.75" customHeight="1" s="12">
      <c r="A4" s="5" t="n">
        <v>4</v>
      </c>
      <c r="B4" s="5">
        <f>2*(SUM(HSD!B4:B11)+4*HSD!B12+HSD!B35)/13</f>
        <v/>
      </c>
      <c r="C4" s="5">
        <f>2*(SUM(HSD!C4:C11)+4*HSD!C12+HSD!C35)/13</f>
        <v/>
      </c>
      <c r="D4" s="5">
        <f>2*(SUM(HSD!D4:D11)+4*HSD!D12+HSD!D35)/13</f>
        <v/>
      </c>
      <c r="E4" s="5">
        <f>2*(SUM(HSD!E4:E11)+4*HSD!E12+HSD!E35)/13</f>
        <v/>
      </c>
      <c r="F4" s="5">
        <f>2*(SUM(HSD!F4:F11)+4*HSD!F12+HSD!F35)/13</f>
        <v/>
      </c>
      <c r="G4" s="5">
        <f>2*(SUM(HSD!G4:G11)+4*HSD!G12+HSD!G35)/13</f>
        <v/>
      </c>
      <c r="H4" s="5">
        <f>2*(SUM(HSD!H4:H11)+4*HSD!H12+HSD!H35)/13</f>
        <v/>
      </c>
      <c r="I4" s="5">
        <f>2*(SUM(HSD!I4:I11)+4*HSD!I12+HSD!I35)/13</f>
        <v/>
      </c>
      <c r="J4" s="5">
        <f>2*(SUM(HSD!J4:J11)+4*HSD!J12+HSD!J35)/13</f>
        <v/>
      </c>
      <c r="K4" s="5">
        <f>2*(SUM(HSD!K4:K11)+4*HSD!K12+HSD!K35)/13</f>
        <v/>
      </c>
    </row>
    <row r="5" ht="15.75" customHeight="1" s="12">
      <c r="A5" s="5" t="n">
        <v>5</v>
      </c>
      <c r="B5" s="5">
        <f>2*(SUM(HSD!B5:B12)+4*HSD!B13+HSD!B36)/13</f>
        <v/>
      </c>
      <c r="C5" s="5">
        <f>2*(SUM(HSD!C5:C12)+4*HSD!C13+HSD!C36)/13</f>
        <v/>
      </c>
      <c r="D5" s="5">
        <f>2*(SUM(HSD!D5:D12)+4*HSD!D13+HSD!D36)/13</f>
        <v/>
      </c>
      <c r="E5" s="5">
        <f>2*(SUM(HSD!E5:E12)+4*HSD!E13+HSD!E36)/13</f>
        <v/>
      </c>
      <c r="F5" s="5">
        <f>2*(SUM(HSD!F5:F12)+4*HSD!F13+HSD!F36)/13</f>
        <v/>
      </c>
      <c r="G5" s="5">
        <f>2*(SUM(HSD!G5:G12)+4*HSD!G13+HSD!G36)/13</f>
        <v/>
      </c>
      <c r="H5" s="5">
        <f>2*(SUM(HSD!H5:H12)+4*HSD!H13+HSD!H36)/13</f>
        <v/>
      </c>
      <c r="I5" s="5">
        <f>2*(SUM(HSD!I5:I12)+4*HSD!I13+HSD!I36)/13</f>
        <v/>
      </c>
      <c r="J5" s="5">
        <f>2*(SUM(HSD!J5:J12)+4*HSD!J13+HSD!J36)/13</f>
        <v/>
      </c>
      <c r="K5" s="5">
        <f>2*(SUM(HSD!K5:K12)+4*HSD!K13+HSD!K36)/13</f>
        <v/>
      </c>
    </row>
    <row r="6" ht="15.75" customHeight="1" s="12">
      <c r="A6" s="5" t="n">
        <v>6</v>
      </c>
      <c r="B6" s="5">
        <f>2*(SUM(HSD!B6:B13)+4*HSD!B14+HSD!B37)/13</f>
        <v/>
      </c>
      <c r="C6" s="5">
        <f>2*(SUM(HSD!C6:C13)+4*HSD!C14+HSD!C37)/13</f>
        <v/>
      </c>
      <c r="D6" s="5">
        <f>2*(SUM(HSD!D6:D13)+4*HSD!D14+HSD!D37)/13</f>
        <v/>
      </c>
      <c r="E6" s="5">
        <f>2*(SUM(HSD!E6:E13)+4*HSD!E14+HSD!E37)/13</f>
        <v/>
      </c>
      <c r="F6" s="5">
        <f>2*(SUM(HSD!F6:F13)+4*HSD!F14+HSD!F37)/13</f>
        <v/>
      </c>
      <c r="G6" s="5">
        <f>2*(SUM(HSD!G6:G13)+4*HSD!G14+HSD!G37)/13</f>
        <v/>
      </c>
      <c r="H6" s="5">
        <f>2*(SUM(HSD!H6:H13)+4*HSD!H14+HSD!H37)/13</f>
        <v/>
      </c>
      <c r="I6" s="5">
        <f>2*(SUM(HSD!I6:I13)+4*HSD!I14+HSD!I37)/13</f>
        <v/>
      </c>
      <c r="J6" s="5">
        <f>2*(SUM(HSD!J6:J13)+4*HSD!J14+HSD!J37)/13</f>
        <v/>
      </c>
      <c r="K6" s="5">
        <f>2*(SUM(HSD!K6:K13)+4*HSD!K14+HSD!K37)/13</f>
        <v/>
      </c>
    </row>
    <row r="7" ht="15.75" customHeight="1" s="12">
      <c r="A7" s="5" t="n">
        <v>7</v>
      </c>
      <c r="B7" s="5">
        <f>2*(SUM(HSD!B7:B14)+4*HSD!B15+HSD!B38)/13</f>
        <v/>
      </c>
      <c r="C7" s="5">
        <f>2*(SUM(HSD!C7:C14)+4*HSD!C15+HSD!C38)/13</f>
        <v/>
      </c>
      <c r="D7" s="5">
        <f>2*(SUM(HSD!D7:D14)+4*HSD!D15+HSD!D38)/13</f>
        <v/>
      </c>
      <c r="E7" s="5">
        <f>2*(SUM(HSD!E7:E14)+4*HSD!E15+HSD!E38)/13</f>
        <v/>
      </c>
      <c r="F7" s="5">
        <f>2*(SUM(HSD!F7:F14)+4*HSD!F15+HSD!F38)/13</f>
        <v/>
      </c>
      <c r="G7" s="5">
        <f>2*(SUM(HSD!G7:G14)+4*HSD!G15+HSD!G38)/13</f>
        <v/>
      </c>
      <c r="H7" s="5">
        <f>2*(SUM(HSD!H7:H14)+4*HSD!H15+HSD!H38)/13</f>
        <v/>
      </c>
      <c r="I7" s="5">
        <f>2*(SUM(HSD!I7:I14)+4*HSD!I15+HSD!I38)/13</f>
        <v/>
      </c>
      <c r="J7" s="5">
        <f>2*(SUM(HSD!J7:J14)+4*HSD!J15+HSD!J38)/13</f>
        <v/>
      </c>
      <c r="K7" s="5">
        <f>2*(SUM(HSD!K7:K14)+4*HSD!K15+HSD!K38)/13</f>
        <v/>
      </c>
    </row>
    <row r="8" ht="15.75" customHeight="1" s="12">
      <c r="A8" s="5" t="n">
        <v>8</v>
      </c>
      <c r="B8" s="5">
        <f>2*(SUM(HSD!B8:B15)+4*HSD!B16+HSD!B39)/13</f>
        <v/>
      </c>
      <c r="C8" s="5">
        <f>2*(SUM(HSD!C8:C15)+4*HSD!C16+HSD!C39)/13</f>
        <v/>
      </c>
      <c r="D8" s="5">
        <f>2*(SUM(HSD!D8:D15)+4*HSD!D16+HSD!D39)/13</f>
        <v/>
      </c>
      <c r="E8" s="5">
        <f>2*(SUM(HSD!E8:E15)+4*HSD!E16+HSD!E39)/13</f>
        <v/>
      </c>
      <c r="F8" s="5">
        <f>2*(SUM(HSD!F8:F15)+4*HSD!F16+HSD!F39)/13</f>
        <v/>
      </c>
      <c r="G8" s="5">
        <f>2*(SUM(HSD!G8:G15)+4*HSD!G16+HSD!G39)/13</f>
        <v/>
      </c>
      <c r="H8" s="5">
        <f>2*(SUM(HSD!H8:H15)+4*HSD!H16+HSD!H39)/13</f>
        <v/>
      </c>
      <c r="I8" s="5">
        <f>2*(SUM(HSD!I8:I15)+4*HSD!I16+HSD!I39)/13</f>
        <v/>
      </c>
      <c r="J8" s="5">
        <f>2*(SUM(HSD!J8:J15)+4*HSD!J16+HSD!J39)/13</f>
        <v/>
      </c>
      <c r="K8" s="5">
        <f>2*(SUM(HSD!K8:K15)+4*HSD!K16+HSD!K39)/13</f>
        <v/>
      </c>
    </row>
    <row r="9" ht="15.75" customHeight="1" s="12">
      <c r="A9" s="5" t="n">
        <v>9</v>
      </c>
      <c r="B9" s="5">
        <f>2*(SUM(HSD!B9:B16)+4*HSD!B17+HSD!B40)/13</f>
        <v/>
      </c>
      <c r="C9" s="5">
        <f>2*(SUM(HSD!C9:C16)+4*HSD!C17+HSD!C40)/13</f>
        <v/>
      </c>
      <c r="D9" s="5">
        <f>2*(SUM(HSD!D9:D16)+4*HSD!D17+HSD!D40)/13</f>
        <v/>
      </c>
      <c r="E9" s="5">
        <f>2*(SUM(HSD!E9:E16)+4*HSD!E17+HSD!E40)/13</f>
        <v/>
      </c>
      <c r="F9" s="5">
        <f>2*(SUM(HSD!F9:F16)+4*HSD!F17+HSD!F40)/13</f>
        <v/>
      </c>
      <c r="G9" s="5">
        <f>2*(SUM(HSD!G9:G16)+4*HSD!G17+HSD!G40)/13</f>
        <v/>
      </c>
      <c r="H9" s="5">
        <f>2*(SUM(HSD!H9:H16)+4*HSD!H17+HSD!H40)/13</f>
        <v/>
      </c>
      <c r="I9" s="5">
        <f>2*(SUM(HSD!I9:I16)+4*HSD!I17+HSD!I40)/13</f>
        <v/>
      </c>
      <c r="J9" s="5">
        <f>2*(SUM(HSD!J9:J16)+4*HSD!J17+HSD!J40)/13</f>
        <v/>
      </c>
      <c r="K9" s="5">
        <f>2*(SUM(HSD!K9:K16)+4*HSD!K17+HSD!K40)/13</f>
        <v/>
      </c>
    </row>
    <row r="10" ht="15.75" customHeight="1" s="12">
      <c r="A10" s="5" t="n">
        <v>10</v>
      </c>
      <c r="B10" s="5">
        <f>2*(SUM(HSD!B10:B17)+4*HSD!B18+HSD!B41)/13</f>
        <v/>
      </c>
      <c r="C10" s="5">
        <f>2*(SUM(HSD!C10:C17)+4*HSD!C18+HSD!C41)/13</f>
        <v/>
      </c>
      <c r="D10" s="5">
        <f>2*(SUM(HSD!D10:D17)+4*HSD!D18+HSD!D41)/13</f>
        <v/>
      </c>
      <c r="E10" s="5">
        <f>2*(SUM(HSD!E10:E17)+4*HSD!E18+HSD!E41)/13</f>
        <v/>
      </c>
      <c r="F10" s="5">
        <f>2*(SUM(HSD!F10:F17)+4*HSD!F18+HSD!F41)/13</f>
        <v/>
      </c>
      <c r="G10" s="5">
        <f>2*(SUM(HSD!G10:G17)+4*HSD!G18+HSD!G41)/13</f>
        <v/>
      </c>
      <c r="H10" s="5">
        <f>2*(SUM(HSD!H10:H17)+4*HSD!H18+HSD!H41)/13</f>
        <v/>
      </c>
      <c r="I10" s="5">
        <f>2*(SUM(HSD!I10:I17)+4*HSD!I18+HSD!I41)/13</f>
        <v/>
      </c>
      <c r="J10" s="5">
        <f>2*(SUM(HSD!J10:J17)+4*HSD!J18+HSD!J41)/13</f>
        <v/>
      </c>
      <c r="K10" s="5">
        <f>2*(SUM(HSD!K10:K17)+4*HSD!K18+HSD!K41)/13</f>
        <v/>
      </c>
    </row>
    <row r="11" ht="15.75" customHeight="1" s="12">
      <c r="A11" s="5" t="inlineStr">
        <is>
          <t>Ace</t>
        </is>
      </c>
      <c r="B11" s="5">
        <f>2*(SUM(Stand!B32:B40)+4*Stand!B41)/13</f>
        <v/>
      </c>
      <c r="C11" s="5">
        <f>2*(SUM(Stand!C32:C40)+4*Stand!C41)/13</f>
        <v/>
      </c>
      <c r="D11" s="5">
        <f>2*(SUM(Stand!D32:D40)+4*Stand!D41)/13</f>
        <v/>
      </c>
      <c r="E11" s="5">
        <f>2*(SUM(Stand!E32:E40)+4*Stand!E41)/13</f>
        <v/>
      </c>
      <c r="F11" s="5">
        <f>2*(SUM(Stand!F32:F40)+4*Stand!F41)/13</f>
        <v/>
      </c>
      <c r="G11" s="5">
        <f>2*(SUM(Stand!G32:G40)+4*Stand!G41)/13</f>
        <v/>
      </c>
      <c r="H11" s="5">
        <f>2*(SUM(Stand!H32:H40)+4*Stand!H41)/13</f>
        <v/>
      </c>
      <c r="I11" s="5">
        <f>2*(SUM(Stand!I32:I40)+4*Stand!I41)/13</f>
        <v/>
      </c>
      <c r="J11" s="5">
        <f>2*(SUM(Stand!J32:J40)+4*Stand!J41)/13</f>
        <v/>
      </c>
      <c r="K11" s="5">
        <f>2*(SUM(Stand!K32:K40)+4*Stand!K41)/13</f>
        <v/>
      </c>
    </row>
    <row r="13" ht="15.75" customHeight="1" s="12">
      <c r="A13" s="5" t="inlineStr">
        <is>
          <t>Best</t>
        </is>
      </c>
    </row>
    <row r="15" ht="15.75" customHeight="1" s="12">
      <c r="A15" s="5" t="inlineStr">
        <is>
          <t>Pair</t>
        </is>
      </c>
      <c r="B15" s="5" t="n">
        <v>2</v>
      </c>
      <c r="C15" s="5" t="n">
        <v>3</v>
      </c>
      <c r="D15" s="5" t="n">
        <v>4</v>
      </c>
      <c r="E15" s="5" t="n">
        <v>5</v>
      </c>
      <c r="F15" s="5" t="n">
        <v>6</v>
      </c>
      <c r="G15" s="5" t="n">
        <v>7</v>
      </c>
      <c r="H15" s="5" t="n">
        <v>8</v>
      </c>
      <c r="I15" s="5" t="n">
        <v>9</v>
      </c>
      <c r="J15" s="5" t="n">
        <v>10</v>
      </c>
      <c r="K15" s="5" t="inlineStr">
        <is>
          <t>Ace</t>
        </is>
      </c>
    </row>
    <row r="16" ht="15.75" customHeight="1" s="12">
      <c r="A16" s="5" t="n">
        <v>2</v>
      </c>
      <c r="B16" s="5">
        <f>MAX(B2,HSD!B2)</f>
        <v/>
      </c>
      <c r="C16" s="5">
        <f>MAX(C2,HSD!C2)</f>
        <v/>
      </c>
      <c r="D16" s="5">
        <f>MAX(D2,HSD!D2)</f>
        <v/>
      </c>
      <c r="E16" s="5">
        <f>MAX(E2,HSD!E2)</f>
        <v/>
      </c>
      <c r="F16" s="5">
        <f>MAX(F2,HSD!F2)</f>
        <v/>
      </c>
      <c r="G16" s="5">
        <f>MAX(G2,HSD!G2)</f>
        <v/>
      </c>
      <c r="H16" s="5">
        <f>MAX(H2,HSD!H2)</f>
        <v/>
      </c>
      <c r="I16" s="5">
        <f>MAX(I2,HSD!I2)</f>
        <v/>
      </c>
      <c r="J16" s="5">
        <f>MAX(J2,HSD!J2)</f>
        <v/>
      </c>
      <c r="K16" s="5">
        <f>MAX(K2,HSD!K2)</f>
        <v/>
      </c>
    </row>
    <row r="17" ht="15.75" customHeight="1" s="12">
      <c r="A17" s="5" t="n">
        <v>3</v>
      </c>
      <c r="B17" s="5">
        <f>MAX(B3,HSD!B4)</f>
        <v/>
      </c>
      <c r="C17" s="5">
        <f>MAX(C3,HSD!C4)</f>
        <v/>
      </c>
      <c r="D17" s="5">
        <f>MAX(D3,HSD!D4)</f>
        <v/>
      </c>
      <c r="E17" s="5">
        <f>MAX(E3,HSD!E4)</f>
        <v/>
      </c>
      <c r="F17" s="5">
        <f>MAX(F3,HSD!F4)</f>
        <v/>
      </c>
      <c r="G17" s="5">
        <f>MAX(G3,HSD!G4)</f>
        <v/>
      </c>
      <c r="H17" s="5">
        <f>MAX(H3,HSD!H4)</f>
        <v/>
      </c>
      <c r="I17" s="5">
        <f>MAX(I3,HSD!I4)</f>
        <v/>
      </c>
      <c r="J17" s="5">
        <f>MAX(J3,HSD!J4)</f>
        <v/>
      </c>
      <c r="K17" s="5">
        <f>MAX(K3,HSD!K4)</f>
        <v/>
      </c>
    </row>
    <row r="18" ht="15.75" customHeight="1" s="12">
      <c r="A18" s="5" t="n">
        <v>4</v>
      </c>
      <c r="B18" s="5">
        <f>MAX(B4,HSD!B6)</f>
        <v/>
      </c>
      <c r="C18" s="5">
        <f>MAX(C4,HSD!C6)</f>
        <v/>
      </c>
      <c r="D18" s="5">
        <f>MAX(D4,HSD!D6)</f>
        <v/>
      </c>
      <c r="E18" s="5">
        <f>MAX(E4,HSD!E6)</f>
        <v/>
      </c>
      <c r="F18" s="5">
        <f>MAX(F4,HSD!F6)</f>
        <v/>
      </c>
      <c r="G18" s="5">
        <f>MAX(G4,HSD!G6)</f>
        <v/>
      </c>
      <c r="H18" s="5">
        <f>MAX(H4,HSD!H6)</f>
        <v/>
      </c>
      <c r="I18" s="5">
        <f>MAX(I4,HSD!I6)</f>
        <v/>
      </c>
      <c r="J18" s="5">
        <f>MAX(J4,HSD!J6)</f>
        <v/>
      </c>
      <c r="K18" s="5">
        <f>MAX(K4,HSD!K6)</f>
        <v/>
      </c>
    </row>
    <row r="19" ht="15.75" customHeight="1" s="12">
      <c r="A19" s="5" t="n">
        <v>5</v>
      </c>
      <c r="B19" s="5">
        <f>MAX(B5,HSD!B8)</f>
        <v/>
      </c>
      <c r="C19" s="5">
        <f>MAX(C5,HSD!C8)</f>
        <v/>
      </c>
      <c r="D19" s="5">
        <f>MAX(D5,HSD!D8)</f>
        <v/>
      </c>
      <c r="E19" s="5">
        <f>MAX(E5,HSD!E8)</f>
        <v/>
      </c>
      <c r="F19" s="5">
        <f>MAX(F5,HSD!F8)</f>
        <v/>
      </c>
      <c r="G19" s="5">
        <f>MAX(G5,HSD!G8)</f>
        <v/>
      </c>
      <c r="H19" s="5">
        <f>MAX(H5,HSD!H8)</f>
        <v/>
      </c>
      <c r="I19" s="5">
        <f>MAX(I5,HSD!I8)</f>
        <v/>
      </c>
      <c r="J19" s="5">
        <f>MAX(J5,HSD!J8)</f>
        <v/>
      </c>
      <c r="K19" s="5">
        <f>MAX(K5,HSD!K8)</f>
        <v/>
      </c>
    </row>
    <row r="20" ht="12.5" customHeight="1" s="12">
      <c r="A20" s="5" t="n">
        <v>6</v>
      </c>
      <c r="B20" s="5">
        <f>MAX(B6,HSD!B10)</f>
        <v/>
      </c>
      <c r="C20" s="5">
        <f>MAX(C6,HSD!C10)</f>
        <v/>
      </c>
      <c r="D20" s="5">
        <f>MAX(D6,HSD!D10)</f>
        <v/>
      </c>
      <c r="E20" s="5">
        <f>MAX(E6,HSD!E10)</f>
        <v/>
      </c>
      <c r="F20" s="5">
        <f>MAX(F6,HSD!F10)</f>
        <v/>
      </c>
      <c r="G20" s="5">
        <f>MAX(G6,HSD!G10)</f>
        <v/>
      </c>
      <c r="H20" s="5">
        <f>MAX(H6,HSD!H10)</f>
        <v/>
      </c>
      <c r="I20" s="5">
        <f>MAX(I6,HSD!I10)</f>
        <v/>
      </c>
      <c r="J20" s="5">
        <f>MAX(J6,HSD!J10)</f>
        <v/>
      </c>
      <c r="K20" s="5">
        <f>MAX(K6,HSD!K10)</f>
        <v/>
      </c>
    </row>
    <row r="21" ht="12.5" customHeight="1" s="12">
      <c r="A21" s="5" t="n">
        <v>7</v>
      </c>
      <c r="B21" s="5">
        <f>MAX(B7,HSD!B12)</f>
        <v/>
      </c>
      <c r="C21" s="5">
        <f>MAX(C7,HSD!C12)</f>
        <v/>
      </c>
      <c r="D21" s="5">
        <f>MAX(D7,HSD!D12)</f>
        <v/>
      </c>
      <c r="E21" s="5">
        <f>MAX(E7,HSD!E12)</f>
        <v/>
      </c>
      <c r="F21" s="5">
        <f>MAX(F7,HSD!F12)</f>
        <v/>
      </c>
      <c r="G21" s="5">
        <f>MAX(G7,HSD!G12)</f>
        <v/>
      </c>
      <c r="H21" s="5">
        <f>MAX(H7,HSD!H12)</f>
        <v/>
      </c>
      <c r="I21" s="5">
        <f>MAX(I7,HSD!I12)</f>
        <v/>
      </c>
      <c r="J21" s="5">
        <f>MAX(J7,HSD!J12)</f>
        <v/>
      </c>
      <c r="K21" s="5">
        <f>MAX(K7,HSD!K12)</f>
        <v/>
      </c>
    </row>
    <row r="22" ht="12.5" customHeight="1" s="12">
      <c r="A22" s="5" t="n">
        <v>8</v>
      </c>
      <c r="B22" s="5">
        <f>MAX(B8,HSD!B14)</f>
        <v/>
      </c>
      <c r="C22" s="5">
        <f>MAX(C8,HSD!C14)</f>
        <v/>
      </c>
      <c r="D22" s="5">
        <f>MAX(D8,HSD!D14)</f>
        <v/>
      </c>
      <c r="E22" s="5">
        <f>MAX(E8,HSD!E14)</f>
        <v/>
      </c>
      <c r="F22" s="5">
        <f>MAX(F8,HSD!F14)</f>
        <v/>
      </c>
      <c r="G22" s="5">
        <f>MAX(G8,HSD!G14)</f>
        <v/>
      </c>
      <c r="H22" s="5">
        <f>MAX(H8,HSD!H14)</f>
        <v/>
      </c>
      <c r="I22" s="5">
        <f>MAX(I8,HSD!I14)</f>
        <v/>
      </c>
      <c r="J22" s="5">
        <f>MAX(J8,HSD!J14)</f>
        <v/>
      </c>
      <c r="K22" s="5">
        <f>MAX(K8,HSD!K14)</f>
        <v/>
      </c>
    </row>
    <row r="23" ht="12.5" customHeight="1" s="12">
      <c r="A23" s="5" t="n">
        <v>9</v>
      </c>
      <c r="B23" s="5">
        <f>MAX(B9,HSD!B16)</f>
        <v/>
      </c>
      <c r="C23" s="5">
        <f>MAX(C9,HSD!C16)</f>
        <v/>
      </c>
      <c r="D23" s="5">
        <f>MAX(D9,HSD!D16)</f>
        <v/>
      </c>
      <c r="E23" s="5">
        <f>MAX(E9,HSD!E16)</f>
        <v/>
      </c>
      <c r="F23" s="5">
        <f>MAX(F9,HSD!F16)</f>
        <v/>
      </c>
      <c r="G23" s="5">
        <f>MAX(G9,HSD!G16)</f>
        <v/>
      </c>
      <c r="H23" s="5">
        <f>MAX(H9,HSD!H16)</f>
        <v/>
      </c>
      <c r="I23" s="5">
        <f>MAX(I9,HSD!I16)</f>
        <v/>
      </c>
      <c r="J23" s="5">
        <f>MAX(J9,HSD!J16)</f>
        <v/>
      </c>
      <c r="K23" s="5">
        <f>MAX(K9,HSD!K16)</f>
        <v/>
      </c>
    </row>
    <row r="24" ht="12.5" customHeight="1" s="12">
      <c r="A24" s="5" t="n">
        <v>10</v>
      </c>
      <c r="B24" s="5">
        <f>MAX(B10,HSD!B18)</f>
        <v/>
      </c>
      <c r="C24" s="5">
        <f>MAX(C10,HSD!C18)</f>
        <v/>
      </c>
      <c r="D24" s="5">
        <f>MAX(D10,HSD!D18)</f>
        <v/>
      </c>
      <c r="E24" s="5">
        <f>MAX(E10,HSD!E18)</f>
        <v/>
      </c>
      <c r="F24" s="5">
        <f>MAX(F10,HSD!F18)</f>
        <v/>
      </c>
      <c r="G24" s="5">
        <f>MAX(G10,HSD!G18)</f>
        <v/>
      </c>
      <c r="H24" s="5">
        <f>MAX(H10,HSD!H18)</f>
        <v/>
      </c>
      <c r="I24" s="5">
        <f>MAX(I10,HSD!I18)</f>
        <v/>
      </c>
      <c r="J24" s="5">
        <f>MAX(J10,HSD!J18)</f>
        <v/>
      </c>
      <c r="K24" s="5">
        <f>MAX(K10,HSD!K18)</f>
        <v/>
      </c>
    </row>
    <row r="25" ht="12.5" customHeight="1" s="12">
      <c r="A25" s="5" t="inlineStr">
        <is>
          <t>Ace</t>
        </is>
      </c>
      <c r="B25" s="5">
        <f>MAX(B11,HSD!B32)</f>
        <v/>
      </c>
      <c r="C25" s="5">
        <f>MAX(C11,HSD!C32)</f>
        <v/>
      </c>
      <c r="D25" s="5">
        <f>MAX(D11,HSD!D32)</f>
        <v/>
      </c>
      <c r="E25" s="5">
        <f>MAX(E11,HSD!E32)</f>
        <v/>
      </c>
      <c r="F25" s="5">
        <f>MAX(F11,HSD!F32)</f>
        <v/>
      </c>
      <c r="G25" s="5">
        <f>MAX(G11,HSD!G32)</f>
        <v/>
      </c>
      <c r="H25" s="5">
        <f>MAX(H11,HSD!H32)</f>
        <v/>
      </c>
      <c r="I25" s="5">
        <f>MAX(I11,HSD!I32)</f>
        <v/>
      </c>
      <c r="J25" s="5">
        <f>MAX(J11,HSD!J32)</f>
        <v/>
      </c>
      <c r="K25" s="5">
        <f>MAX(K11,HSD!K32)</f>
        <v/>
      </c>
    </row>
    <row r="27" ht="12.5" customHeight="1" s="12">
      <c r="A27" s="5" t="inlineStr">
        <is>
          <t>Strategy</t>
        </is>
      </c>
    </row>
    <row r="29" ht="12.5" customHeight="1" s="12">
      <c r="A29" s="8" t="inlineStr">
        <is>
          <t>Pair</t>
        </is>
      </c>
      <c r="B29" s="9" t="n">
        <v>2</v>
      </c>
      <c r="C29" s="9" t="n">
        <v>3</v>
      </c>
      <c r="D29" s="9" t="n">
        <v>4</v>
      </c>
      <c r="E29" s="9" t="n">
        <v>5</v>
      </c>
      <c r="F29" s="9" t="n">
        <v>6</v>
      </c>
      <c r="G29" s="9" t="n">
        <v>7</v>
      </c>
      <c r="H29" s="9" t="n">
        <v>8</v>
      </c>
      <c r="I29" s="9" t="n">
        <v>9</v>
      </c>
      <c r="J29" s="9" t="n">
        <v>10</v>
      </c>
      <c r="K29" s="8" t="inlineStr">
        <is>
          <t>Ace</t>
        </is>
      </c>
    </row>
    <row r="30" ht="12.5" customHeight="1" s="12">
      <c r="A30" s="9" t="n">
        <v>2</v>
      </c>
      <c r="B30" s="2">
        <f>IF(B16=B2,"Y","N")</f>
        <v/>
      </c>
      <c r="C30" s="2">
        <f>IF(C16=C2,"Y","N")</f>
        <v/>
      </c>
      <c r="D30" s="2">
        <f>IF(D16=D2,"Y","N")</f>
        <v/>
      </c>
      <c r="E30" s="2">
        <f>IF(E16=E2,"Y","N")</f>
        <v/>
      </c>
      <c r="F30" s="2">
        <f>IF(F16=F2,"Y","N")</f>
        <v/>
      </c>
      <c r="G30" s="2">
        <f>IF(G16=G2,"Y","N")</f>
        <v/>
      </c>
      <c r="H30" s="2">
        <f>IF(H16=H2,"Y","N")</f>
        <v/>
      </c>
      <c r="I30" s="2">
        <f>IF(I16=I2,"Y","N")</f>
        <v/>
      </c>
      <c r="J30" s="2">
        <f>IF(J16=J2,"Y","N")</f>
        <v/>
      </c>
      <c r="K30" s="2">
        <f>IF(K16=K2,"Y","N")</f>
        <v/>
      </c>
    </row>
    <row r="31" ht="12.5" customHeight="1" s="12">
      <c r="A31" s="9" t="n">
        <v>3</v>
      </c>
      <c r="B31" s="2">
        <f>IF(B17=B3,"Y","N")</f>
        <v/>
      </c>
      <c r="C31" s="2">
        <f>IF(C17=C3,"Y","N")</f>
        <v/>
      </c>
      <c r="D31" s="2">
        <f>IF(D17=D3,"Y","N")</f>
        <v/>
      </c>
      <c r="E31" s="2">
        <f>IF(E17=E3,"Y","N")</f>
        <v/>
      </c>
      <c r="F31" s="2">
        <f>IF(F17=F3,"Y","N")</f>
        <v/>
      </c>
      <c r="G31" s="2">
        <f>IF(G17=G3,"Y","N")</f>
        <v/>
      </c>
      <c r="H31" s="2">
        <f>IF(H17=H3,"Y","N")</f>
        <v/>
      </c>
      <c r="I31" s="2">
        <f>IF(I17=I3,"Y","N")</f>
        <v/>
      </c>
      <c r="J31" s="2">
        <f>IF(J17=J3,"Y","N")</f>
        <v/>
      </c>
      <c r="K31" s="2">
        <f>IF(K17=K3,"Y","N")</f>
        <v/>
      </c>
    </row>
    <row r="32" ht="12.5" customHeight="1" s="12">
      <c r="A32" s="9" t="n">
        <v>4</v>
      </c>
      <c r="B32" s="2">
        <f>IF(B18=B4,"Y","N")</f>
        <v/>
      </c>
      <c r="C32" s="2">
        <f>IF(C18=C4,"Y","N")</f>
        <v/>
      </c>
      <c r="D32" s="2">
        <f>IF(D18=D4,"Y","N")</f>
        <v/>
      </c>
      <c r="E32" s="2">
        <f>IF(E18=E4,"Y","N")</f>
        <v/>
      </c>
      <c r="F32" s="2">
        <f>IF(F18=F4,"Y","N")</f>
        <v/>
      </c>
      <c r="G32" s="2">
        <f>IF(G18=G4,"Y","N")</f>
        <v/>
      </c>
      <c r="H32" s="2">
        <f>IF(H18=H4,"Y","N")</f>
        <v/>
      </c>
      <c r="I32" s="2">
        <f>IF(I18=I4,"Y","N")</f>
        <v/>
      </c>
      <c r="J32" s="2">
        <f>IF(J18=J4,"Y","N")</f>
        <v/>
      </c>
      <c r="K32" s="2">
        <f>IF(K18=K4,"Y","N")</f>
        <v/>
      </c>
    </row>
    <row r="33" ht="12.5" customHeight="1" s="12">
      <c r="A33" s="9" t="n">
        <v>5</v>
      </c>
      <c r="B33" s="2">
        <f>IF(B19=B5,"Y","N")</f>
        <v/>
      </c>
      <c r="C33" s="2">
        <f>IF(C19=C5,"Y","N")</f>
        <v/>
      </c>
      <c r="D33" s="2">
        <f>IF(D19=D5,"Y","N")</f>
        <v/>
      </c>
      <c r="E33" s="2">
        <f>IF(E19=E5,"Y","N")</f>
        <v/>
      </c>
      <c r="F33" s="2">
        <f>IF(F19=F5,"Y","N")</f>
        <v/>
      </c>
      <c r="G33" s="2">
        <f>IF(G19=G5,"Y","N")</f>
        <v/>
      </c>
      <c r="H33" s="2">
        <f>IF(H19=H5,"Y","N")</f>
        <v/>
      </c>
      <c r="I33" s="2">
        <f>IF(I19=I5,"Y","N")</f>
        <v/>
      </c>
      <c r="J33" s="2">
        <f>IF(J19=J5,"Y","N")</f>
        <v/>
      </c>
      <c r="K33" s="2">
        <f>IF(K19=K5,"Y","N")</f>
        <v/>
      </c>
    </row>
    <row r="34" ht="12.5" customHeight="1" s="12">
      <c r="A34" s="9" t="n">
        <v>6</v>
      </c>
      <c r="B34" s="2">
        <f>IF(B20=B6,"Y","N")</f>
        <v/>
      </c>
      <c r="C34" s="2">
        <f>IF(C20=C6,"Y","N")</f>
        <v/>
      </c>
      <c r="D34" s="2">
        <f>IF(D20=D6,"Y","N")</f>
        <v/>
      </c>
      <c r="E34" s="2">
        <f>IF(E20=E6,"Y","N")</f>
        <v/>
      </c>
      <c r="F34" s="2">
        <f>IF(F20=F6,"Y","N")</f>
        <v/>
      </c>
      <c r="G34" s="2">
        <f>IF(G20=G6,"Y","N")</f>
        <v/>
      </c>
      <c r="H34" s="2">
        <f>IF(H20=H6,"Y","N")</f>
        <v/>
      </c>
      <c r="I34" s="2">
        <f>IF(I20=I6,"Y","N")</f>
        <v/>
      </c>
      <c r="J34" s="2">
        <f>IF(J20=J6,"Y","N")</f>
        <v/>
      </c>
      <c r="K34" s="2">
        <f>IF(K20=K6,"Y","N")</f>
        <v/>
      </c>
    </row>
    <row r="35" ht="12.5" customHeight="1" s="12">
      <c r="A35" s="9" t="n">
        <v>7</v>
      </c>
      <c r="B35" s="2">
        <f>IF(B21=B7,"Y","N")</f>
        <v/>
      </c>
      <c r="C35" s="2">
        <f>IF(C21=C7,"Y","N")</f>
        <v/>
      </c>
      <c r="D35" s="2">
        <f>IF(D21=D7,"Y","N")</f>
        <v/>
      </c>
      <c r="E35" s="2">
        <f>IF(E21=E7,"Y","N")</f>
        <v/>
      </c>
      <c r="F35" s="2">
        <f>IF(F21=F7,"Y","N")</f>
        <v/>
      </c>
      <c r="G35" s="2">
        <f>IF(G21=G7,"Y","N")</f>
        <v/>
      </c>
      <c r="H35" s="2">
        <f>IF(H21=H7,"Y","N")</f>
        <v/>
      </c>
      <c r="I35" s="2">
        <f>IF(I21=I7,"Y","N")</f>
        <v/>
      </c>
      <c r="J35" s="2">
        <f>IF(J21=J7,"Y","N")</f>
        <v/>
      </c>
      <c r="K35" s="2">
        <f>IF(K21=K7,"Y","N")</f>
        <v/>
      </c>
    </row>
    <row r="36" ht="12.5" customHeight="1" s="12">
      <c r="A36" s="9" t="n">
        <v>8</v>
      </c>
      <c r="B36" s="2">
        <f>IF(B22=B8,"Y","N")</f>
        <v/>
      </c>
      <c r="C36" s="2">
        <f>IF(C22=C8,"Y","N")</f>
        <v/>
      </c>
      <c r="D36" s="2">
        <f>IF(D22=D8,"Y","N")</f>
        <v/>
      </c>
      <c r="E36" s="2">
        <f>IF(E22=E8,"Y","N")</f>
        <v/>
      </c>
      <c r="F36" s="2">
        <f>IF(F22=F8,"Y","N")</f>
        <v/>
      </c>
      <c r="G36" s="2">
        <f>IF(G22=G8,"Y","N")</f>
        <v/>
      </c>
      <c r="H36" s="2">
        <f>IF(H22=H8,"Y","N")</f>
        <v/>
      </c>
      <c r="I36" s="2">
        <f>IF(I22=I8,"Y","N")</f>
        <v/>
      </c>
      <c r="J36" s="2">
        <f>IF(J22=J8,"Y","N")</f>
        <v/>
      </c>
      <c r="K36" s="2">
        <f>IF(K22=K8,"Y","N")</f>
        <v/>
      </c>
    </row>
    <row r="37" ht="12.5" customHeight="1" s="12">
      <c r="A37" s="9" t="n">
        <v>9</v>
      </c>
      <c r="B37" s="2">
        <f>IF(B23=B9,"Y","N")</f>
        <v/>
      </c>
      <c r="C37" s="2">
        <f>IF(C23=C9,"Y","N")</f>
        <v/>
      </c>
      <c r="D37" s="2">
        <f>IF(D23=D9,"Y","N")</f>
        <v/>
      </c>
      <c r="E37" s="2">
        <f>IF(E23=E9,"Y","N")</f>
        <v/>
      </c>
      <c r="F37" s="2">
        <f>IF(F23=F9,"Y","N")</f>
        <v/>
      </c>
      <c r="G37" s="2">
        <f>IF(G23=G9,"Y","N")</f>
        <v/>
      </c>
      <c r="H37" s="2">
        <f>IF(H23=H9,"Y","N")</f>
        <v/>
      </c>
      <c r="I37" s="2">
        <f>IF(I23=I9,"Y","N")</f>
        <v/>
      </c>
      <c r="J37" s="2">
        <f>IF(J23=J9,"Y","N")</f>
        <v/>
      </c>
      <c r="K37" s="2">
        <f>IF(K23=K9,"Y","N")</f>
        <v/>
      </c>
    </row>
    <row r="38" ht="12.5" customHeight="1" s="12">
      <c r="A38" s="9" t="n">
        <v>10</v>
      </c>
      <c r="B38" s="2">
        <f>IF(B24=B10,"Y","N")</f>
        <v/>
      </c>
      <c r="C38" s="2">
        <f>IF(C24=C10,"Y","N")</f>
        <v/>
      </c>
      <c r="D38" s="2">
        <f>IF(D24=D10,"Y","N")</f>
        <v/>
      </c>
      <c r="E38" s="2">
        <f>IF(E24=E10,"Y","N")</f>
        <v/>
      </c>
      <c r="F38" s="2">
        <f>IF(F24=F10,"Y","N")</f>
        <v/>
      </c>
      <c r="G38" s="2">
        <f>IF(G24=G10,"Y","N")</f>
        <v/>
      </c>
      <c r="H38" s="2">
        <f>IF(H24=H10,"Y","N")</f>
        <v/>
      </c>
      <c r="I38" s="2">
        <f>IF(I24=I10,"Y","N")</f>
        <v/>
      </c>
      <c r="J38" s="2">
        <f>IF(J24=J10,"Y","N")</f>
        <v/>
      </c>
      <c r="K38" s="2">
        <f>IF(K24=K10,"Y","N")</f>
        <v/>
      </c>
    </row>
    <row r="39" ht="12.5" customHeight="1" s="12">
      <c r="A39" s="8" t="inlineStr">
        <is>
          <t>Ace</t>
        </is>
      </c>
      <c r="B39" s="2">
        <f>IF(B25=B11,"Y","N")</f>
        <v/>
      </c>
      <c r="C39" s="2">
        <f>IF(C25=C11,"Y","N")</f>
        <v/>
      </c>
      <c r="D39" s="2">
        <f>IF(D25=D11,"Y","N")</f>
        <v/>
      </c>
      <c r="E39" s="2">
        <f>IF(E25=E11,"Y","N")</f>
        <v/>
      </c>
      <c r="F39" s="2">
        <f>IF(F25=F11,"Y","N")</f>
        <v/>
      </c>
      <c r="G39" s="2">
        <f>IF(G25=G11,"Y","N")</f>
        <v/>
      </c>
      <c r="H39" s="2">
        <f>IF(H25=H11,"Y","N")</f>
        <v/>
      </c>
      <c r="I39" s="2">
        <f>IF(I25=I11,"Y","N")</f>
        <v/>
      </c>
      <c r="J39" s="2">
        <f>IF(J25=J11,"Y","N")</f>
        <v/>
      </c>
      <c r="K39" s="2">
        <f>IF(K25=K11,"Y","N")</f>
        <v/>
      </c>
    </row>
  </sheetData>
  <conditionalFormatting sqref="B30:K39">
    <cfRule type="containsText" priority="1" operator="containsText" dxfId="1" text="Y">
      <formula>NOT(ISERROR(SEARCH(("Y"),(B30))))</formula>
    </cfRule>
    <cfRule type="containsText" priority="2" operator="containsText" dxfId="0" text="N">
      <formula>NOT(ISERROR(SEARCH(("N"),(B30))))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8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  <c r="L2" s="5" t="n"/>
      <c r="M2" s="5" t="n"/>
      <c r="N2" s="5" t="n"/>
    </row>
    <row r="3" ht="15.75" customHeight="1" s="12">
      <c r="A3" s="5" t="inlineStr">
        <is>
          <t>Hard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5.75" customHeight="1" s="12">
      <c r="A4" s="5" t="n">
        <v>5</v>
      </c>
      <c r="B4" s="5">
        <f>$B69*(1/13)</f>
        <v/>
      </c>
      <c r="C4" s="5">
        <f>$B69*(1/13)</f>
        <v/>
      </c>
      <c r="D4" s="5">
        <f>$B69*(1/13)</f>
        <v/>
      </c>
      <c r="E4" s="5">
        <f>$B69*(1/13)</f>
        <v/>
      </c>
      <c r="F4" s="5">
        <f>$B69*(1/13)</f>
        <v/>
      </c>
      <c r="G4" s="5">
        <f>$B69*(1/13)</f>
        <v/>
      </c>
      <c r="H4" s="5">
        <f>$B69*(1/13)</f>
        <v/>
      </c>
      <c r="I4" s="5">
        <f>$B69*(1/13)</f>
        <v/>
      </c>
      <c r="J4" s="5">
        <f>$B69*(4/13)*(12/13)</f>
        <v/>
      </c>
      <c r="K4" s="5">
        <f>$B69*(1/13)*(9/13)</f>
        <v/>
      </c>
      <c r="L4" s="5" t="n"/>
      <c r="M4" s="5" t="n"/>
      <c r="N4" s="5" t="n"/>
    </row>
    <row r="5" ht="15.75" customHeight="1" s="12">
      <c r="A5" s="5" t="n">
        <v>6</v>
      </c>
      <c r="B5" s="5">
        <f>$B70*(1/13)</f>
        <v/>
      </c>
      <c r="C5" s="5">
        <f>$B70*(1/13)</f>
        <v/>
      </c>
      <c r="D5" s="5">
        <f>$B70*(1/13)</f>
        <v/>
      </c>
      <c r="E5" s="5">
        <f>$B70*(1/13)</f>
        <v/>
      </c>
      <c r="F5" s="5">
        <f>$B70*(1/13)</f>
        <v/>
      </c>
      <c r="G5" s="5">
        <f>$B70*(1/13)</f>
        <v/>
      </c>
      <c r="H5" s="5">
        <f>$B70*(1/13)</f>
        <v/>
      </c>
      <c r="I5" s="5">
        <f>$B70*(1/13)</f>
        <v/>
      </c>
      <c r="J5" s="5">
        <f>$B70*(4/13)*(12/13)</f>
        <v/>
      </c>
      <c r="K5" s="5">
        <f>$B70*(1/13)*(9/13)</f>
        <v/>
      </c>
      <c r="L5" s="5" t="n"/>
      <c r="M5" s="5" t="n"/>
      <c r="N5" s="5" t="n"/>
    </row>
    <row r="6" ht="15.75" customHeight="1" s="12">
      <c r="A6" s="5" t="n">
        <v>7</v>
      </c>
      <c r="B6" s="5">
        <f>$B71*(1/13)</f>
        <v/>
      </c>
      <c r="C6" s="5">
        <f>$B71*(1/13)</f>
        <v/>
      </c>
      <c r="D6" s="5">
        <f>$B71*(1/13)</f>
        <v/>
      </c>
      <c r="E6" s="5">
        <f>$B71*(1/13)</f>
        <v/>
      </c>
      <c r="F6" s="5">
        <f>$B71*(1/13)</f>
        <v/>
      </c>
      <c r="G6" s="5">
        <f>$B71*(1/13)</f>
        <v/>
      </c>
      <c r="H6" s="5">
        <f>$B71*(1/13)</f>
        <v/>
      </c>
      <c r="I6" s="5">
        <f>$B71*(1/13)</f>
        <v/>
      </c>
      <c r="J6" s="5">
        <f>$B71*(4/13)*(12/13)</f>
        <v/>
      </c>
      <c r="K6" s="5">
        <f>$B71*(1/13)*(9/13)</f>
        <v/>
      </c>
      <c r="L6" s="5" t="n"/>
      <c r="M6" s="5" t="n"/>
      <c r="N6" s="5" t="n"/>
    </row>
    <row r="7" ht="15.75" customHeight="1" s="12">
      <c r="A7" s="5" t="n">
        <v>8</v>
      </c>
      <c r="B7" s="5">
        <f>$B72*(1/13)</f>
        <v/>
      </c>
      <c r="C7" s="5">
        <f>$B72*(1/13)</f>
        <v/>
      </c>
      <c r="D7" s="5">
        <f>$B72*(1/13)</f>
        <v/>
      </c>
      <c r="E7" s="5">
        <f>$B72*(1/13)</f>
        <v/>
      </c>
      <c r="F7" s="5">
        <f>$B72*(1/13)</f>
        <v/>
      </c>
      <c r="G7" s="5">
        <f>$B72*(1/13)</f>
        <v/>
      </c>
      <c r="H7" s="5">
        <f>$B72*(1/13)</f>
        <v/>
      </c>
      <c r="I7" s="5">
        <f>$B72*(1/13)</f>
        <v/>
      </c>
      <c r="J7" s="5">
        <f>$B72*(4/13)*(12/13)</f>
        <v/>
      </c>
      <c r="K7" s="5">
        <f>$B72*(1/13)*(9/13)</f>
        <v/>
      </c>
      <c r="L7" s="5" t="n"/>
      <c r="M7" s="5" t="n"/>
      <c r="N7" s="5" t="n"/>
    </row>
    <row r="8" ht="15.75" customHeight="1" s="12">
      <c r="A8" s="5" t="n">
        <v>9</v>
      </c>
      <c r="B8" s="5">
        <f>$B73*(1/13)</f>
        <v/>
      </c>
      <c r="C8" s="5">
        <f>$B73*(1/13)</f>
        <v/>
      </c>
      <c r="D8" s="5">
        <f>$B73*(1/13)</f>
        <v/>
      </c>
      <c r="E8" s="5">
        <f>$B73*(1/13)</f>
        <v/>
      </c>
      <c r="F8" s="5">
        <f>$B73*(1/13)</f>
        <v/>
      </c>
      <c r="G8" s="5">
        <f>$B73*(1/13)</f>
        <v/>
      </c>
      <c r="H8" s="5">
        <f>$B73*(1/13)</f>
        <v/>
      </c>
      <c r="I8" s="5">
        <f>$B73*(1/13)</f>
        <v/>
      </c>
      <c r="J8" s="5">
        <f>$B73*(4/13)*(12/13)</f>
        <v/>
      </c>
      <c r="K8" s="5">
        <f>$B73*(1/13)*(9/13)</f>
        <v/>
      </c>
      <c r="L8" s="5" t="n"/>
      <c r="M8" s="5" t="n"/>
      <c r="N8" s="5" t="n"/>
    </row>
    <row r="9" ht="15.75" customHeight="1" s="12">
      <c r="A9" s="5" t="n">
        <v>10</v>
      </c>
      <c r="B9" s="5">
        <f>$B74*(1/13)</f>
        <v/>
      </c>
      <c r="C9" s="5">
        <f>$B74*(1/13)</f>
        <v/>
      </c>
      <c r="D9" s="5">
        <f>$B74*(1/13)</f>
        <v/>
      </c>
      <c r="E9" s="5">
        <f>$B74*(1/13)</f>
        <v/>
      </c>
      <c r="F9" s="5">
        <f>$B74*(1/13)</f>
        <v/>
      </c>
      <c r="G9" s="5">
        <f>$B74*(1/13)</f>
        <v/>
      </c>
      <c r="H9" s="5">
        <f>$B74*(1/13)</f>
        <v/>
      </c>
      <c r="I9" s="5">
        <f>$B74*(1/13)</f>
        <v/>
      </c>
      <c r="J9" s="5">
        <f>$B74*(4/13)*(12/13)</f>
        <v/>
      </c>
      <c r="K9" s="5">
        <f>$B74*(1/13)*(9/13)</f>
        <v/>
      </c>
      <c r="L9" s="5" t="n"/>
      <c r="M9" s="5" t="n"/>
      <c r="N9" s="5" t="n"/>
    </row>
    <row r="10" ht="15.75" customHeight="1" s="12">
      <c r="A10" s="5" t="n">
        <v>11</v>
      </c>
      <c r="B10" s="5">
        <f>$B75*(1/13)</f>
        <v/>
      </c>
      <c r="C10" s="5">
        <f>$B75*(1/13)</f>
        <v/>
      </c>
      <c r="D10" s="5">
        <f>$B75*(1/13)</f>
        <v/>
      </c>
      <c r="E10" s="5">
        <f>$B75*(1/13)</f>
        <v/>
      </c>
      <c r="F10" s="5">
        <f>$B75*(1/13)</f>
        <v/>
      </c>
      <c r="G10" s="5">
        <f>$B75*(1/13)</f>
        <v/>
      </c>
      <c r="H10" s="5">
        <f>$B75*(1/13)</f>
        <v/>
      </c>
      <c r="I10" s="5">
        <f>$B75*(1/13)</f>
        <v/>
      </c>
      <c r="J10" s="5">
        <f>$B75*(4/13)*(12/13)</f>
        <v/>
      </c>
      <c r="K10" s="5">
        <f>$B75*(1/13)*(9/13)</f>
        <v/>
      </c>
      <c r="L10" s="5" t="n"/>
      <c r="M10" s="5" t="n"/>
      <c r="N10" s="5" t="n"/>
    </row>
    <row r="11" ht="15.75" customHeight="1" s="12">
      <c r="A11" s="5" t="n">
        <v>12</v>
      </c>
      <c r="B11" s="5">
        <f>$B76*(1/13)</f>
        <v/>
      </c>
      <c r="C11" s="5">
        <f>$B76*(1/13)</f>
        <v/>
      </c>
      <c r="D11" s="5">
        <f>$B76*(1/13)</f>
        <v/>
      </c>
      <c r="E11" s="5">
        <f>$B76*(1/13)</f>
        <v/>
      </c>
      <c r="F11" s="5">
        <f>$B76*(1/13)</f>
        <v/>
      </c>
      <c r="G11" s="5">
        <f>$B76*(1/13)</f>
        <v/>
      </c>
      <c r="H11" s="5">
        <f>$B76*(1/13)</f>
        <v/>
      </c>
      <c r="I11" s="5">
        <f>$B76*(1/13)</f>
        <v/>
      </c>
      <c r="J11" s="5">
        <f>$B76*(4/13)*(12/13)</f>
        <v/>
      </c>
      <c r="K11" s="5">
        <f>$B76*(1/13)*(9/13)</f>
        <v/>
      </c>
      <c r="L11" s="5" t="n"/>
      <c r="M11" s="5" t="n"/>
      <c r="N11" s="5" t="n"/>
    </row>
    <row r="12" ht="15.75" customHeight="1" s="12">
      <c r="A12" s="5" t="n">
        <v>13</v>
      </c>
      <c r="B12" s="5">
        <f>$B77*(1/13)</f>
        <v/>
      </c>
      <c r="C12" s="5">
        <f>$B77*(1/13)</f>
        <v/>
      </c>
      <c r="D12" s="5">
        <f>$B77*(1/13)</f>
        <v/>
      </c>
      <c r="E12" s="5">
        <f>$B77*(1/13)</f>
        <v/>
      </c>
      <c r="F12" s="5">
        <f>$B77*(1/13)</f>
        <v/>
      </c>
      <c r="G12" s="5">
        <f>$B77*(1/13)</f>
        <v/>
      </c>
      <c r="H12" s="5">
        <f>$B77*(1/13)</f>
        <v/>
      </c>
      <c r="I12" s="5">
        <f>$B77*(1/13)</f>
        <v/>
      </c>
      <c r="J12" s="5">
        <f>$B77*(4/13)*(12/13)</f>
        <v/>
      </c>
      <c r="K12" s="5">
        <f>$B77*(1/13)*(9/13)</f>
        <v/>
      </c>
      <c r="L12" s="5" t="n"/>
      <c r="M12" s="5" t="n"/>
      <c r="N12" s="5" t="n"/>
    </row>
    <row r="13" ht="15.75" customHeight="1" s="12">
      <c r="A13" s="5" t="n">
        <v>14</v>
      </c>
      <c r="B13" s="5">
        <f>$B78*(1/13)</f>
        <v/>
      </c>
      <c r="C13" s="5">
        <f>$B78*(1/13)</f>
        <v/>
      </c>
      <c r="D13" s="5">
        <f>$B78*(1/13)</f>
        <v/>
      </c>
      <c r="E13" s="5">
        <f>$B78*(1/13)</f>
        <v/>
      </c>
      <c r="F13" s="5">
        <f>$B78*(1/13)</f>
        <v/>
      </c>
      <c r="G13" s="5">
        <f>$B78*(1/13)</f>
        <v/>
      </c>
      <c r="H13" s="5">
        <f>$B78*(1/13)</f>
        <v/>
      </c>
      <c r="I13" s="5">
        <f>$B78*(1/13)</f>
        <v/>
      </c>
      <c r="J13" s="5">
        <f>$B78*(4/13)*(12/13)</f>
        <v/>
      </c>
      <c r="K13" s="5">
        <f>$B78*(1/13)*(9/13)</f>
        <v/>
      </c>
      <c r="L13" s="5" t="n"/>
      <c r="M13" s="5" t="n"/>
      <c r="N13" s="5" t="n"/>
    </row>
    <row r="14" ht="15.75" customHeight="1" s="12">
      <c r="A14" s="5" t="n">
        <v>15</v>
      </c>
      <c r="B14" s="5">
        <f>$B79*(1/13)</f>
        <v/>
      </c>
      <c r="C14" s="5">
        <f>$B79*(1/13)</f>
        <v/>
      </c>
      <c r="D14" s="5">
        <f>$B79*(1/13)</f>
        <v/>
      </c>
      <c r="E14" s="5">
        <f>$B79*(1/13)</f>
        <v/>
      </c>
      <c r="F14" s="5">
        <f>$B79*(1/13)</f>
        <v/>
      </c>
      <c r="G14" s="5">
        <f>$B79*(1/13)</f>
        <v/>
      </c>
      <c r="H14" s="5">
        <f>$B79*(1/13)</f>
        <v/>
      </c>
      <c r="I14" s="5">
        <f>$B79*(1/13)</f>
        <v/>
      </c>
      <c r="J14" s="5">
        <f>$B79*(4/13)*(12/13)</f>
        <v/>
      </c>
      <c r="K14" s="5">
        <f>$B79*(1/13)*(9/13)</f>
        <v/>
      </c>
      <c r="L14" s="5" t="n"/>
      <c r="M14" s="5" t="n"/>
      <c r="N14" s="5" t="n"/>
    </row>
    <row r="15" ht="15.75" customHeight="1" s="12">
      <c r="A15" s="5" t="n">
        <v>16</v>
      </c>
      <c r="B15" s="5">
        <f>$B80*(1/13)</f>
        <v/>
      </c>
      <c r="C15" s="5">
        <f>$B80*(1/13)</f>
        <v/>
      </c>
      <c r="D15" s="5">
        <f>$B80*(1/13)</f>
        <v/>
      </c>
      <c r="E15" s="5">
        <f>$B80*(1/13)</f>
        <v/>
      </c>
      <c r="F15" s="5">
        <f>$B80*(1/13)</f>
        <v/>
      </c>
      <c r="G15" s="5">
        <f>$B80*(1/13)</f>
        <v/>
      </c>
      <c r="H15" s="5">
        <f>$B80*(1/13)</f>
        <v/>
      </c>
      <c r="I15" s="5">
        <f>$B80*(1/13)</f>
        <v/>
      </c>
      <c r="J15" s="5">
        <f>$B80*(4/13)*(12/13)</f>
        <v/>
      </c>
      <c r="K15" s="5">
        <f>$B80*(1/13)*(9/13)</f>
        <v/>
      </c>
      <c r="L15" s="5" t="n"/>
      <c r="M15" s="5" t="n"/>
      <c r="N15" s="5" t="n"/>
    </row>
    <row r="16" ht="15.75" customHeight="1" s="12">
      <c r="A16" s="5" t="n">
        <v>17</v>
      </c>
      <c r="B16" s="5">
        <f>$B81*(1/13)</f>
        <v/>
      </c>
      <c r="C16" s="5">
        <f>$B81*(1/13)</f>
        <v/>
      </c>
      <c r="D16" s="5">
        <f>$B81*(1/13)</f>
        <v/>
      </c>
      <c r="E16" s="5">
        <f>$B81*(1/13)</f>
        <v/>
      </c>
      <c r="F16" s="5">
        <f>$B81*(1/13)</f>
        <v/>
      </c>
      <c r="G16" s="5">
        <f>$B81*(1/13)</f>
        <v/>
      </c>
      <c r="H16" s="5">
        <f>$B81*(1/13)</f>
        <v/>
      </c>
      <c r="I16" s="5">
        <f>$B81*(1/13)</f>
        <v/>
      </c>
      <c r="J16" s="5">
        <f>$B81*(4/13)*(12/13)</f>
        <v/>
      </c>
      <c r="K16" s="5">
        <f>$B81*(1/13)*(9/13)</f>
        <v/>
      </c>
      <c r="L16" s="5" t="n"/>
      <c r="M16" s="5" t="n"/>
      <c r="N16" s="5" t="n"/>
    </row>
    <row r="17" ht="15.75" customHeight="1" s="12">
      <c r="A17" s="5" t="n">
        <v>18</v>
      </c>
      <c r="B17" s="5">
        <f>$B82*(1/13)</f>
        <v/>
      </c>
      <c r="C17" s="5">
        <f>$B82*(1/13)</f>
        <v/>
      </c>
      <c r="D17" s="5">
        <f>$B82*(1/13)</f>
        <v/>
      </c>
      <c r="E17" s="5">
        <f>$B82*(1/13)</f>
        <v/>
      </c>
      <c r="F17" s="5">
        <f>$B82*(1/13)</f>
        <v/>
      </c>
      <c r="G17" s="5">
        <f>$B82*(1/13)</f>
        <v/>
      </c>
      <c r="H17" s="5">
        <f>$B82*(1/13)</f>
        <v/>
      </c>
      <c r="I17" s="5">
        <f>$B82*(1/13)</f>
        <v/>
      </c>
      <c r="J17" s="5">
        <f>$B82*(4/13)*(12/13)</f>
        <v/>
      </c>
      <c r="K17" s="5">
        <f>$B82*(1/13)*(9/13)</f>
        <v/>
      </c>
      <c r="L17" s="5" t="n"/>
      <c r="M17" s="5" t="n"/>
      <c r="N17" s="5" t="n"/>
    </row>
    <row r="18" ht="15.75" customHeight="1" s="12">
      <c r="A18" s="5" t="n">
        <v>19</v>
      </c>
      <c r="B18" s="5">
        <f>$B83*(1/13)</f>
        <v/>
      </c>
      <c r="C18" s="5">
        <f>$B83*(1/13)</f>
        <v/>
      </c>
      <c r="D18" s="5">
        <f>$B83*(1/13)</f>
        <v/>
      </c>
      <c r="E18" s="5">
        <f>$B83*(1/13)</f>
        <v/>
      </c>
      <c r="F18" s="5">
        <f>$B83*(1/13)</f>
        <v/>
      </c>
      <c r="G18" s="5">
        <f>$B83*(1/13)</f>
        <v/>
      </c>
      <c r="H18" s="5">
        <f>$B83*(1/13)</f>
        <v/>
      </c>
      <c r="I18" s="5">
        <f>$B83*(1/13)</f>
        <v/>
      </c>
      <c r="J18" s="5">
        <f>$B83*(4/13)*(12/13)</f>
        <v/>
      </c>
      <c r="K18" s="5">
        <f>$B83*(1/13)*(9/13)</f>
        <v/>
      </c>
      <c r="L18" s="5" t="n"/>
      <c r="M18" s="5" t="inlineStr">
        <is>
          <t>Hard Total %</t>
        </is>
      </c>
      <c r="N18" s="5">
        <f>SUM(B4:K18)</f>
        <v/>
      </c>
    </row>
    <row r="19" ht="15.75" customHeight="1" s="12">
      <c r="A19" s="5" t="inlineStr">
        <is>
          <t>Soft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5.75" customHeight="1" s="12">
      <c r="A20" s="5" t="n">
        <v>13</v>
      </c>
      <c r="B20" s="5">
        <f>2*(1/13)^3</f>
        <v/>
      </c>
      <c r="C20" s="5">
        <f>2*(1/13)^3</f>
        <v/>
      </c>
      <c r="D20" s="5">
        <f>2*(1/13)^3</f>
        <v/>
      </c>
      <c r="E20" s="5">
        <f>2*(1/13)^3</f>
        <v/>
      </c>
      <c r="F20" s="5">
        <f>2*(1/13)^3</f>
        <v/>
      </c>
      <c r="G20" s="5">
        <f>2*(1/13)^3</f>
        <v/>
      </c>
      <c r="H20" s="5">
        <f>2*(1/13)^3</f>
        <v/>
      </c>
      <c r="I20" s="5">
        <f>2*(1/13)^3</f>
        <v/>
      </c>
      <c r="J20" s="5">
        <f>2*(1/13)^2*(4/13)*(12/13)</f>
        <v/>
      </c>
      <c r="K20" s="5">
        <f>2*(1/13)^3*(9/13)</f>
        <v/>
      </c>
      <c r="L20" s="5" t="n"/>
      <c r="M20" s="5" t="n"/>
      <c r="N20" s="5" t="n"/>
    </row>
    <row r="21" ht="15.75" customHeight="1" s="12">
      <c r="A21" s="5" t="n">
        <v>14</v>
      </c>
      <c r="B21" s="5">
        <f>2*(1/13)^3</f>
        <v/>
      </c>
      <c r="C21" s="5">
        <f>2*(1/13)^3</f>
        <v/>
      </c>
      <c r="D21" s="5">
        <f>2*(1/13)^3</f>
        <v/>
      </c>
      <c r="E21" s="5">
        <f>2*(1/13)^3</f>
        <v/>
      </c>
      <c r="F21" s="5">
        <f>2*(1/13)^3</f>
        <v/>
      </c>
      <c r="G21" s="5">
        <f>2*(1/13)^3</f>
        <v/>
      </c>
      <c r="H21" s="5">
        <f>2*(1/13)^3</f>
        <v/>
      </c>
      <c r="I21" s="5">
        <f>2*(1/13)^3</f>
        <v/>
      </c>
      <c r="J21" s="5">
        <f>2*(1/13)^2*(4/13)*(12/13)</f>
        <v/>
      </c>
      <c r="K21" s="5">
        <f>2*(1/13)^3*(9/13)</f>
        <v/>
      </c>
      <c r="L21" s="5" t="n"/>
      <c r="M21" s="5" t="n"/>
      <c r="N21" s="5" t="n"/>
    </row>
    <row r="22" ht="15.75" customHeight="1" s="12">
      <c r="A22" s="5" t="n">
        <v>15</v>
      </c>
      <c r="B22" s="5">
        <f>2*(1/13)^3</f>
        <v/>
      </c>
      <c r="C22" s="5">
        <f>2*(1/13)^3</f>
        <v/>
      </c>
      <c r="D22" s="5">
        <f>2*(1/13)^3</f>
        <v/>
      </c>
      <c r="E22" s="5">
        <f>2*(1/13)^3</f>
        <v/>
      </c>
      <c r="F22" s="5">
        <f>2*(1/13)^3</f>
        <v/>
      </c>
      <c r="G22" s="5">
        <f>2*(1/13)^3</f>
        <v/>
      </c>
      <c r="H22" s="5">
        <f>2*(1/13)^3</f>
        <v/>
      </c>
      <c r="I22" s="5">
        <f>2*(1/13)^3</f>
        <v/>
      </c>
      <c r="J22" s="5">
        <f>2*(1/13)^2*(4/13)*(12/13)</f>
        <v/>
      </c>
      <c r="K22" s="5">
        <f>2*(1/13)^3*(9/13)</f>
        <v/>
      </c>
      <c r="L22" s="5" t="n"/>
      <c r="M22" s="5" t="n"/>
      <c r="N22" s="5" t="n"/>
    </row>
    <row r="23" ht="12.5" customHeight="1" s="12">
      <c r="A23" s="5" t="n">
        <v>16</v>
      </c>
      <c r="B23" s="5">
        <f>2*(1/13)^3</f>
        <v/>
      </c>
      <c r="C23" s="5">
        <f>2*(1/13)^3</f>
        <v/>
      </c>
      <c r="D23" s="5">
        <f>2*(1/13)^3</f>
        <v/>
      </c>
      <c r="E23" s="5">
        <f>2*(1/13)^3</f>
        <v/>
      </c>
      <c r="F23" s="5">
        <f>2*(1/13)^3</f>
        <v/>
      </c>
      <c r="G23" s="5">
        <f>2*(1/13)^3</f>
        <v/>
      </c>
      <c r="H23" s="5">
        <f>2*(1/13)^3</f>
        <v/>
      </c>
      <c r="I23" s="5">
        <f>2*(1/13)^3</f>
        <v/>
      </c>
      <c r="J23" s="5">
        <f>2*(1/13)^2*(4/13)*(12/13)</f>
        <v/>
      </c>
      <c r="K23" s="5">
        <f>2*(1/13)^3*(9/13)</f>
        <v/>
      </c>
      <c r="L23" s="5" t="n"/>
      <c r="M23" s="5" t="n"/>
      <c r="N23" s="5" t="n"/>
    </row>
    <row r="24" ht="12.5" customHeight="1" s="12">
      <c r="A24" s="5" t="n">
        <v>17</v>
      </c>
      <c r="B24" s="5">
        <f>2*(1/13)^3</f>
        <v/>
      </c>
      <c r="C24" s="5">
        <f>2*(1/13)^3</f>
        <v/>
      </c>
      <c r="D24" s="5">
        <f>2*(1/13)^3</f>
        <v/>
      </c>
      <c r="E24" s="5">
        <f>2*(1/13)^3</f>
        <v/>
      </c>
      <c r="F24" s="5">
        <f>2*(1/13)^3</f>
        <v/>
      </c>
      <c r="G24" s="5">
        <f>2*(1/13)^3</f>
        <v/>
      </c>
      <c r="H24" s="5">
        <f>2*(1/13)^3</f>
        <v/>
      </c>
      <c r="I24" s="5">
        <f>2*(1/13)^3</f>
        <v/>
      </c>
      <c r="J24" s="5">
        <f>2*(1/13)^2*(4/13)*(12/13)</f>
        <v/>
      </c>
      <c r="K24" s="5">
        <f>2*(1/13)^3*(9/13)</f>
        <v/>
      </c>
      <c r="L24" s="5" t="n"/>
      <c r="M24" s="5" t="n"/>
      <c r="N24" s="5" t="n"/>
    </row>
    <row r="25" ht="12.5" customHeight="1" s="12">
      <c r="A25" s="5" t="n">
        <v>18</v>
      </c>
      <c r="B25" s="5">
        <f>2*(1/13)^3</f>
        <v/>
      </c>
      <c r="C25" s="5">
        <f>2*(1/13)^3</f>
        <v/>
      </c>
      <c r="D25" s="5">
        <f>2*(1/13)^3</f>
        <v/>
      </c>
      <c r="E25" s="5">
        <f>2*(1/13)^3</f>
        <v/>
      </c>
      <c r="F25" s="5">
        <f>2*(1/13)^3</f>
        <v/>
      </c>
      <c r="G25" s="5">
        <f>2*(1/13)^3</f>
        <v/>
      </c>
      <c r="H25" s="5">
        <f>2*(1/13)^3</f>
        <v/>
      </c>
      <c r="I25" s="5">
        <f>2*(1/13)^3</f>
        <v/>
      </c>
      <c r="J25" s="5">
        <f>2*(1/13)^2*(4/13)*(12/13)</f>
        <v/>
      </c>
      <c r="K25" s="5">
        <f>2*(1/13)^3*(9/13)</f>
        <v/>
      </c>
      <c r="L25" s="5" t="n"/>
      <c r="M25" s="5" t="n"/>
      <c r="N25" s="5" t="n"/>
    </row>
    <row r="26" ht="12.5" customHeight="1" s="12">
      <c r="A26" s="5" t="n">
        <v>19</v>
      </c>
      <c r="B26" s="5">
        <f>2*(1/13)^3</f>
        <v/>
      </c>
      <c r="C26" s="5">
        <f>2*(1/13)^3</f>
        <v/>
      </c>
      <c r="D26" s="5">
        <f>2*(1/13)^3</f>
        <v/>
      </c>
      <c r="E26" s="5">
        <f>2*(1/13)^3</f>
        <v/>
      </c>
      <c r="F26" s="5">
        <f>2*(1/13)^3</f>
        <v/>
      </c>
      <c r="G26" s="5">
        <f>2*(1/13)^3</f>
        <v/>
      </c>
      <c r="H26" s="5">
        <f>2*(1/13)^3</f>
        <v/>
      </c>
      <c r="I26" s="5">
        <f>2*(1/13)^3</f>
        <v/>
      </c>
      <c r="J26" s="5">
        <f>2*(1/13)^2*(4/13)*(12/13)</f>
        <v/>
      </c>
      <c r="K26" s="5">
        <f>2*(1/13)^3*(9/13)</f>
        <v/>
      </c>
      <c r="L26" s="5" t="n"/>
      <c r="M26" s="5" t="n"/>
      <c r="N26" s="5" t="n"/>
    </row>
    <row r="27" ht="12.5" customHeight="1" s="12">
      <c r="A27" s="5" t="n">
        <v>20</v>
      </c>
      <c r="B27" s="5">
        <f>2*(1/13)^3</f>
        <v/>
      </c>
      <c r="C27" s="5">
        <f>2*(1/13)^3</f>
        <v/>
      </c>
      <c r="D27" s="5">
        <f>2*(1/13)^3</f>
        <v/>
      </c>
      <c r="E27" s="5">
        <f>2*(1/13)^3</f>
        <v/>
      </c>
      <c r="F27" s="5">
        <f>2*(1/13)^3</f>
        <v/>
      </c>
      <c r="G27" s="5">
        <f>2*(1/13)^3</f>
        <v/>
      </c>
      <c r="H27" s="5">
        <f>2*(1/13)^3</f>
        <v/>
      </c>
      <c r="I27" s="5">
        <f>2*(1/13)^3</f>
        <v/>
      </c>
      <c r="J27" s="5">
        <f>2*(1/13)^2*(4/13)*(12/13)</f>
        <v/>
      </c>
      <c r="K27" s="5">
        <f>2*(1/13)^3*(9/13)</f>
        <v/>
      </c>
      <c r="L27" s="5" t="n"/>
      <c r="M27" s="5" t="n"/>
      <c r="N27" s="5" t="n"/>
    </row>
    <row r="28" ht="12.5" customHeight="1" s="12">
      <c r="A28" s="5" t="n">
        <v>21</v>
      </c>
      <c r="B28" s="5">
        <f>2*(1/13)^2*(4/13)</f>
        <v/>
      </c>
      <c r="C28" s="5">
        <f>2*(1/13)^2*(4/13)</f>
        <v/>
      </c>
      <c r="D28" s="5">
        <f>2*(1/13)^2*(4/13)</f>
        <v/>
      </c>
      <c r="E28" s="5">
        <f>2*(1/13)^2*(4/13)</f>
        <v/>
      </c>
      <c r="F28" s="5">
        <f>2*(1/13)^2*(4/13)</f>
        <v/>
      </c>
      <c r="G28" s="5">
        <f>2*(1/13)^2*(4/13)</f>
        <v/>
      </c>
      <c r="H28" s="5">
        <f>2*(1/13)^2*(4/13)</f>
        <v/>
      </c>
      <c r="I28" s="5">
        <f>2*(1/13)^2*(4/13)</f>
        <v/>
      </c>
      <c r="J28" s="5">
        <f>2*(1/13)*(4/13)*(4/13)*(12/13)</f>
        <v/>
      </c>
      <c r="K28" s="5">
        <f>2*(1/13)*(4/13)*(1/13)*(9/13)</f>
        <v/>
      </c>
      <c r="L28" s="5" t="n"/>
      <c r="M28" s="5" t="inlineStr">
        <is>
          <t>Soft Total %</t>
        </is>
      </c>
      <c r="N28" s="5">
        <f>SUM(B20:K28)</f>
        <v/>
      </c>
    </row>
    <row r="29" ht="12.5" customHeight="1" s="12">
      <c r="A29" s="5" t="inlineStr">
        <is>
          <t>Pairs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 ht="12.5" customHeight="1" s="12">
      <c r="A30" s="5" t="n">
        <v>2</v>
      </c>
      <c r="B30" s="5">
        <f>(1/13)^3</f>
        <v/>
      </c>
      <c r="C30" s="5">
        <f>(1/13)^3</f>
        <v/>
      </c>
      <c r="D30" s="5">
        <f>(1/13)^3</f>
        <v/>
      </c>
      <c r="E30" s="5">
        <f>(1/13)^3</f>
        <v/>
      </c>
      <c r="F30" s="5">
        <f>(1/13)^3</f>
        <v/>
      </c>
      <c r="G30" s="5">
        <f>(1/13)^3</f>
        <v/>
      </c>
      <c r="H30" s="5">
        <f>(1/13)^3</f>
        <v/>
      </c>
      <c r="I30" s="5">
        <f>(1/13)^3</f>
        <v/>
      </c>
      <c r="J30" s="5">
        <f>(1/13)^2*(4/13)*(12/13)</f>
        <v/>
      </c>
      <c r="K30" s="5">
        <f>(1/13)^3*(9/13)</f>
        <v/>
      </c>
      <c r="L30" s="5" t="n"/>
      <c r="M30" s="5" t="n"/>
      <c r="N30" s="5" t="n"/>
    </row>
    <row r="31" ht="12.5" customHeight="1" s="12">
      <c r="A31" s="5" t="n">
        <v>3</v>
      </c>
      <c r="B31" s="5">
        <f>(1/13)^3</f>
        <v/>
      </c>
      <c r="C31" s="5">
        <f>(1/13)^3</f>
        <v/>
      </c>
      <c r="D31" s="5">
        <f>(1/13)^3</f>
        <v/>
      </c>
      <c r="E31" s="5">
        <f>(1/13)^3</f>
        <v/>
      </c>
      <c r="F31" s="5">
        <f>(1/13)^3</f>
        <v/>
      </c>
      <c r="G31" s="5">
        <f>(1/13)^3</f>
        <v/>
      </c>
      <c r="H31" s="5">
        <f>(1/13)^3</f>
        <v/>
      </c>
      <c r="I31" s="5">
        <f>(1/13)^3</f>
        <v/>
      </c>
      <c r="J31" s="5">
        <f>(1/13)^2*(4/13)*(12/13)</f>
        <v/>
      </c>
      <c r="K31" s="5">
        <f>(1/13)^3*(9/13)</f>
        <v/>
      </c>
      <c r="L31" s="5" t="n"/>
      <c r="M31" s="5" t="n"/>
      <c r="N31" s="5" t="n"/>
    </row>
    <row r="32" ht="12.5" customHeight="1" s="12">
      <c r="A32" s="5" t="n">
        <v>4</v>
      </c>
      <c r="B32" s="5">
        <f>(1/13)^3</f>
        <v/>
      </c>
      <c r="C32" s="5">
        <f>(1/13)^3</f>
        <v/>
      </c>
      <c r="D32" s="5">
        <f>(1/13)^3</f>
        <v/>
      </c>
      <c r="E32" s="5">
        <f>(1/13)^3</f>
        <v/>
      </c>
      <c r="F32" s="5">
        <f>(1/13)^3</f>
        <v/>
      </c>
      <c r="G32" s="5">
        <f>(1/13)^3</f>
        <v/>
      </c>
      <c r="H32" s="5">
        <f>(1/13)^3</f>
        <v/>
      </c>
      <c r="I32" s="5">
        <f>(1/13)^3</f>
        <v/>
      </c>
      <c r="J32" s="5">
        <f>(1/13)^2*(4/13)*(12/13)</f>
        <v/>
      </c>
      <c r="K32" s="5">
        <f>(1/13)^3*(9/13)</f>
        <v/>
      </c>
      <c r="L32" s="5" t="n"/>
      <c r="M32" s="5" t="n"/>
      <c r="N32" s="5" t="n"/>
    </row>
    <row r="33" ht="12.5" customHeight="1" s="12">
      <c r="A33" s="5" t="n">
        <v>5</v>
      </c>
      <c r="B33" s="5">
        <f>(1/13)^3</f>
        <v/>
      </c>
      <c r="C33" s="5">
        <f>(1/13)^3</f>
        <v/>
      </c>
      <c r="D33" s="5">
        <f>(1/13)^3</f>
        <v/>
      </c>
      <c r="E33" s="5">
        <f>(1/13)^3</f>
        <v/>
      </c>
      <c r="F33" s="5">
        <f>(1/13)^3</f>
        <v/>
      </c>
      <c r="G33" s="5">
        <f>(1/13)^3</f>
        <v/>
      </c>
      <c r="H33" s="5">
        <f>(1/13)^3</f>
        <v/>
      </c>
      <c r="I33" s="5">
        <f>(1/13)^3</f>
        <v/>
      </c>
      <c r="J33" s="5">
        <f>(1/13)^2*(4/13)*(12/13)</f>
        <v/>
      </c>
      <c r="K33" s="5">
        <f>(1/13)^3*(9/13)</f>
        <v/>
      </c>
      <c r="L33" s="5" t="n"/>
      <c r="M33" s="5" t="n"/>
      <c r="N33" s="5" t="n"/>
    </row>
    <row r="34" ht="12.5" customHeight="1" s="12">
      <c r="A34" s="5" t="n">
        <v>6</v>
      </c>
      <c r="B34" s="5">
        <f>(1/13)^3</f>
        <v/>
      </c>
      <c r="C34" s="5">
        <f>(1/13)^3</f>
        <v/>
      </c>
      <c r="D34" s="5">
        <f>(1/13)^3</f>
        <v/>
      </c>
      <c r="E34" s="5">
        <f>(1/13)^3</f>
        <v/>
      </c>
      <c r="F34" s="5">
        <f>(1/13)^3</f>
        <v/>
      </c>
      <c r="G34" s="5">
        <f>(1/13)^3</f>
        <v/>
      </c>
      <c r="H34" s="5">
        <f>(1/13)^3</f>
        <v/>
      </c>
      <c r="I34" s="5">
        <f>(1/13)^3</f>
        <v/>
      </c>
      <c r="J34" s="5">
        <f>(1/13)^2*(4/13)*(12/13)</f>
        <v/>
      </c>
      <c r="K34" s="5">
        <f>(1/13)^3*(9/13)</f>
        <v/>
      </c>
      <c r="L34" s="5" t="n"/>
      <c r="M34" s="5" t="n"/>
      <c r="N34" s="5" t="n"/>
    </row>
    <row r="35" ht="12.5" customHeight="1" s="12">
      <c r="A35" s="5" t="n">
        <v>7</v>
      </c>
      <c r="B35" s="5">
        <f>(1/13)^3</f>
        <v/>
      </c>
      <c r="C35" s="5">
        <f>(1/13)^3</f>
        <v/>
      </c>
      <c r="D35" s="5">
        <f>(1/13)^3</f>
        <v/>
      </c>
      <c r="E35" s="5">
        <f>(1/13)^3</f>
        <v/>
      </c>
      <c r="F35" s="5">
        <f>(1/13)^3</f>
        <v/>
      </c>
      <c r="G35" s="5">
        <f>(1/13)^3</f>
        <v/>
      </c>
      <c r="H35" s="5">
        <f>(1/13)^3</f>
        <v/>
      </c>
      <c r="I35" s="5">
        <f>(1/13)^3</f>
        <v/>
      </c>
      <c r="J35" s="5">
        <f>(1/13)^2*(4/13)*(12/13)</f>
        <v/>
      </c>
      <c r="K35" s="5">
        <f>(1/13)^3*(9/13)</f>
        <v/>
      </c>
      <c r="L35" s="5" t="n"/>
      <c r="M35" s="5" t="n"/>
      <c r="N35" s="5" t="n"/>
    </row>
    <row r="36" ht="12.5" customHeight="1" s="12">
      <c r="A36" s="5" t="n">
        <v>8</v>
      </c>
      <c r="B36" s="5">
        <f>(1/13)^3</f>
        <v/>
      </c>
      <c r="C36" s="5">
        <f>(1/13)^3</f>
        <v/>
      </c>
      <c r="D36" s="5">
        <f>(1/13)^3</f>
        <v/>
      </c>
      <c r="E36" s="5">
        <f>(1/13)^3</f>
        <v/>
      </c>
      <c r="F36" s="5">
        <f>(1/13)^3</f>
        <v/>
      </c>
      <c r="G36" s="5">
        <f>(1/13)^3</f>
        <v/>
      </c>
      <c r="H36" s="5">
        <f>(1/13)^3</f>
        <v/>
      </c>
      <c r="I36" s="5">
        <f>(1/13)^3</f>
        <v/>
      </c>
      <c r="J36" s="5">
        <f>(1/13)^2*(4/13)*(12/13)</f>
        <v/>
      </c>
      <c r="K36" s="5">
        <f>(1/13)^3*(9/13)</f>
        <v/>
      </c>
      <c r="L36" s="5" t="n"/>
      <c r="M36" s="5" t="n"/>
      <c r="N36" s="5" t="n"/>
    </row>
    <row r="37" ht="12.5" customHeight="1" s="12">
      <c r="A37" s="5" t="n">
        <v>9</v>
      </c>
      <c r="B37" s="5">
        <f>(1/13)^3</f>
        <v/>
      </c>
      <c r="C37" s="5">
        <f>(1/13)^3</f>
        <v/>
      </c>
      <c r="D37" s="5">
        <f>(1/13)^3</f>
        <v/>
      </c>
      <c r="E37" s="5">
        <f>(1/13)^3</f>
        <v/>
      </c>
      <c r="F37" s="5">
        <f>(1/13)^3</f>
        <v/>
      </c>
      <c r="G37" s="5">
        <f>(1/13)^3</f>
        <v/>
      </c>
      <c r="H37" s="5">
        <f>(1/13)^3</f>
        <v/>
      </c>
      <c r="I37" s="5">
        <f>(1/13)^3</f>
        <v/>
      </c>
      <c r="J37" s="5">
        <f>(1/13)^2*(4/13)*(12/13)</f>
        <v/>
      </c>
      <c r="K37" s="5">
        <f>(1/13)^3*(9/13)</f>
        <v/>
      </c>
      <c r="L37" s="5" t="n"/>
      <c r="M37" s="5" t="n"/>
      <c r="N37" s="5" t="n"/>
    </row>
    <row r="38" ht="12.5" customHeight="1" s="12">
      <c r="A38" s="5" t="n">
        <v>10</v>
      </c>
      <c r="B38" s="5">
        <f>(4/13)^2*(1/13)</f>
        <v/>
      </c>
      <c r="C38" s="5">
        <f>(4/13)^2*(1/13)</f>
        <v/>
      </c>
      <c r="D38" s="5">
        <f>(4/13)^2*(1/13)</f>
        <v/>
      </c>
      <c r="E38" s="5">
        <f>(4/13)^2*(1/13)</f>
        <v/>
      </c>
      <c r="F38" s="5">
        <f>(4/13)^2*(1/13)</f>
        <v/>
      </c>
      <c r="G38" s="5">
        <f>(4/13)^2*(1/13)</f>
        <v/>
      </c>
      <c r="H38" s="5">
        <f>(4/13)^2*(1/13)</f>
        <v/>
      </c>
      <c r="I38" s="5">
        <f>(4/13)^2*(1/13)</f>
        <v/>
      </c>
      <c r="J38" s="5">
        <f>(4/13)^3*(12/13)</f>
        <v/>
      </c>
      <c r="K38" s="5">
        <f>(4/13)^2*(1/13)*(9/13)</f>
        <v/>
      </c>
      <c r="L38" s="5" t="n"/>
      <c r="M38" s="5" t="n"/>
      <c r="N38" s="5" t="n"/>
    </row>
    <row r="39" ht="12.5" customHeight="1" s="12">
      <c r="A39" s="5" t="inlineStr">
        <is>
          <t>Ace</t>
        </is>
      </c>
      <c r="B39" s="5">
        <f>(1/13)^3</f>
        <v/>
      </c>
      <c r="C39" s="5">
        <f>(1/13)^3</f>
        <v/>
      </c>
      <c r="D39" s="5">
        <f>(1/13)^3</f>
        <v/>
      </c>
      <c r="E39" s="5">
        <f>(1/13)^3</f>
        <v/>
      </c>
      <c r="F39" s="5">
        <f>(1/13)^3</f>
        <v/>
      </c>
      <c r="G39" s="5">
        <f>(1/13)^3</f>
        <v/>
      </c>
      <c r="H39" s="5">
        <f>(1/13)^3</f>
        <v/>
      </c>
      <c r="I39" s="5">
        <f>(1/13)^3</f>
        <v/>
      </c>
      <c r="J39" s="5">
        <f>(1/13)^2*(4/13)*(12/13)</f>
        <v/>
      </c>
      <c r="K39" s="5">
        <f>(1/13)^3*(9/13)</f>
        <v/>
      </c>
      <c r="L39" s="5" t="n"/>
      <c r="M39" s="5" t="inlineStr">
        <is>
          <t>Pair %</t>
        </is>
      </c>
      <c r="N39" s="5">
        <f>SUM(B30:K39)</f>
        <v/>
      </c>
    </row>
    <row r="40" ht="12.5" customHeight="1" s="12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inlineStr">
        <is>
          <t>Dealer Blackjack</t>
        </is>
      </c>
      <c r="N40" s="5">
        <f>2*(4/13)*(1/13)</f>
        <v/>
      </c>
    </row>
    <row r="41" ht="12.5" customHeight="1" s="12">
      <c r="A41" s="5" t="n"/>
      <c r="B41" s="5" t="inlineStr">
        <is>
          <t>Card 2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inlineStr">
        <is>
          <t>All Total</t>
        </is>
      </c>
      <c r="N41" s="5">
        <f>N18+N28+N39+N40</f>
        <v/>
      </c>
    </row>
    <row r="42" ht="12.5" customHeight="1" s="12">
      <c r="A42" s="5" t="inlineStr">
        <is>
          <t>Card 1</t>
        </is>
      </c>
      <c r="B42" s="5" t="n">
        <v>2</v>
      </c>
      <c r="C42" s="5" t="n">
        <v>3</v>
      </c>
      <c r="D42" s="5" t="n">
        <v>4</v>
      </c>
      <c r="E42" s="5" t="n">
        <v>5</v>
      </c>
      <c r="F42" s="5" t="n">
        <v>6</v>
      </c>
      <c r="G42" s="5" t="n">
        <v>7</v>
      </c>
      <c r="H42" s="5" t="n">
        <v>8</v>
      </c>
      <c r="I42" s="5" t="n">
        <v>9</v>
      </c>
      <c r="J42" s="5" t="n">
        <v>10</v>
      </c>
      <c r="K42" s="5" t="inlineStr">
        <is>
          <t>Ace</t>
        </is>
      </c>
      <c r="L42" s="5" t="n"/>
      <c r="M42" s="5" t="n"/>
      <c r="N42" s="5" t="n"/>
    </row>
    <row r="43" ht="12.5" customHeight="1" s="12">
      <c r="A43" s="5" t="n">
        <v>2</v>
      </c>
      <c r="B43" s="5" t="n"/>
      <c r="C43" s="5">
        <f>$A43+C$42</f>
        <v/>
      </c>
      <c r="D43" s="5">
        <f>$A43+D$42</f>
        <v/>
      </c>
      <c r="E43" s="5">
        <f>$A43+E$42</f>
        <v/>
      </c>
      <c r="F43" s="5">
        <f>$A43+F$42</f>
        <v/>
      </c>
      <c r="G43" s="5">
        <f>$A43+G$42</f>
        <v/>
      </c>
      <c r="H43" s="5">
        <f>$A43+H$42</f>
        <v/>
      </c>
      <c r="I43" s="5">
        <f>$A43+I$42</f>
        <v/>
      </c>
      <c r="J43" s="5">
        <f>$A43+J$42</f>
        <v/>
      </c>
      <c r="K43" s="5" t="n"/>
      <c r="L43" s="5" t="n"/>
      <c r="M43" s="5" t="n"/>
      <c r="N43" s="5" t="n"/>
    </row>
    <row r="44" ht="12.5" customHeight="1" s="12">
      <c r="A44" s="5" t="n">
        <v>3</v>
      </c>
      <c r="B44" s="5">
        <f>$A44+B$42</f>
        <v/>
      </c>
      <c r="C44" s="5" t="n"/>
      <c r="D44" s="5">
        <f>$A44+D$42</f>
        <v/>
      </c>
      <c r="E44" s="5">
        <f>$A44+E$42</f>
        <v/>
      </c>
      <c r="F44" s="5">
        <f>$A44+F$42</f>
        <v/>
      </c>
      <c r="G44" s="5">
        <f>$A44+G$42</f>
        <v/>
      </c>
      <c r="H44" s="5">
        <f>$A44+H$42</f>
        <v/>
      </c>
      <c r="I44" s="5">
        <f>$A44+I$42</f>
        <v/>
      </c>
      <c r="J44" s="5">
        <f>$A44+J$42</f>
        <v/>
      </c>
      <c r="K44" s="5" t="n"/>
      <c r="L44" s="5" t="n"/>
      <c r="M44" s="5" t="n"/>
      <c r="N44" s="5" t="n"/>
    </row>
    <row r="45" ht="12.5" customHeight="1" s="12">
      <c r="A45" s="5" t="n">
        <v>4</v>
      </c>
      <c r="B45" s="5">
        <f>$A45+B$42</f>
        <v/>
      </c>
      <c r="C45" s="5">
        <f>$A45+C$42</f>
        <v/>
      </c>
      <c r="D45" s="5" t="n"/>
      <c r="E45" s="5">
        <f>$A45+E$42</f>
        <v/>
      </c>
      <c r="F45" s="5">
        <f>$A45+F$42</f>
        <v/>
      </c>
      <c r="G45" s="5">
        <f>$A45+G$42</f>
        <v/>
      </c>
      <c r="H45" s="5">
        <f>$A45+H$42</f>
        <v/>
      </c>
      <c r="I45" s="5">
        <f>$A45+I$42</f>
        <v/>
      </c>
      <c r="J45" s="5">
        <f>$A45+J$42</f>
        <v/>
      </c>
      <c r="K45" s="5" t="n"/>
      <c r="L45" s="5" t="n"/>
      <c r="M45" s="5" t="n"/>
      <c r="N45" s="5" t="n"/>
    </row>
    <row r="46" ht="12.5" customHeight="1" s="12">
      <c r="A46" s="5" t="n">
        <v>5</v>
      </c>
      <c r="B46" s="5">
        <f>$A46+B$42</f>
        <v/>
      </c>
      <c r="C46" s="5">
        <f>$A46+C$42</f>
        <v/>
      </c>
      <c r="D46" s="5">
        <f>$A46+D$42</f>
        <v/>
      </c>
      <c r="E46" s="5" t="n"/>
      <c r="F46" s="5">
        <f>$A46+F$42</f>
        <v/>
      </c>
      <c r="G46" s="5">
        <f>$A46+G$42</f>
        <v/>
      </c>
      <c r="H46" s="5">
        <f>$A46+H$42</f>
        <v/>
      </c>
      <c r="I46" s="5">
        <f>$A46+I$42</f>
        <v/>
      </c>
      <c r="J46" s="5">
        <f>$A46+J$42</f>
        <v/>
      </c>
      <c r="K46" s="5" t="n"/>
      <c r="L46" s="5" t="n"/>
      <c r="M46" s="5" t="n"/>
      <c r="N46" s="5" t="n"/>
    </row>
    <row r="47" ht="12.5" customHeight="1" s="12">
      <c r="A47" s="5" t="n">
        <v>6</v>
      </c>
      <c r="B47" s="5">
        <f>$A47+B$42</f>
        <v/>
      </c>
      <c r="C47" s="5">
        <f>$A47+C$42</f>
        <v/>
      </c>
      <c r="D47" s="5">
        <f>$A47+D$42</f>
        <v/>
      </c>
      <c r="E47" s="5">
        <f>$A47+E$42</f>
        <v/>
      </c>
      <c r="F47" s="5" t="n"/>
      <c r="G47" s="5">
        <f>$A47+G$42</f>
        <v/>
      </c>
      <c r="H47" s="5">
        <f>$A47+H$42</f>
        <v/>
      </c>
      <c r="I47" s="5">
        <f>$A47+I$42</f>
        <v/>
      </c>
      <c r="J47" s="5">
        <f>$A47+J$42</f>
        <v/>
      </c>
      <c r="K47" s="5" t="n"/>
      <c r="L47" s="5" t="n"/>
      <c r="M47" s="5" t="n"/>
      <c r="N47" s="5" t="n"/>
    </row>
    <row r="48" ht="12.5" customHeight="1" s="12">
      <c r="A48" s="5" t="n">
        <v>7</v>
      </c>
      <c r="B48" s="5">
        <f>$A48+B$42</f>
        <v/>
      </c>
      <c r="C48" s="5">
        <f>$A48+C$42</f>
        <v/>
      </c>
      <c r="D48" s="5">
        <f>$A48+D$42</f>
        <v/>
      </c>
      <c r="E48" s="5">
        <f>$A48+E$42</f>
        <v/>
      </c>
      <c r="F48" s="5">
        <f>$A48+F$42</f>
        <v/>
      </c>
      <c r="G48" s="5" t="n"/>
      <c r="H48" s="5">
        <f>$A48+H$42</f>
        <v/>
      </c>
      <c r="I48" s="5">
        <f>$A48+I$42</f>
        <v/>
      </c>
      <c r="J48" s="5">
        <f>$A48+J$42</f>
        <v/>
      </c>
      <c r="K48" s="5" t="n"/>
      <c r="L48" s="5" t="n"/>
      <c r="M48" s="5" t="n"/>
      <c r="N48" s="5" t="n"/>
    </row>
    <row r="49" ht="12.5" customHeight="1" s="12">
      <c r="A49" s="5" t="n">
        <v>8</v>
      </c>
      <c r="B49" s="5">
        <f>$A49+B$42</f>
        <v/>
      </c>
      <c r="C49" s="5">
        <f>$A49+C$42</f>
        <v/>
      </c>
      <c r="D49" s="5">
        <f>$A49+D$42</f>
        <v/>
      </c>
      <c r="E49" s="5">
        <f>$A49+E$42</f>
        <v/>
      </c>
      <c r="F49" s="5">
        <f>$A49+F$42</f>
        <v/>
      </c>
      <c r="G49" s="5">
        <f>$A49+G$42</f>
        <v/>
      </c>
      <c r="H49" s="5" t="n"/>
      <c r="I49" s="5">
        <f>$A49+I$42</f>
        <v/>
      </c>
      <c r="J49" s="5">
        <f>$A49+J$42</f>
        <v/>
      </c>
      <c r="K49" s="5" t="n"/>
      <c r="L49" s="5" t="n"/>
      <c r="M49" s="5" t="n"/>
      <c r="N49" s="5" t="n"/>
    </row>
    <row r="50" ht="12.5" customHeight="1" s="12">
      <c r="A50" s="5" t="n">
        <v>9</v>
      </c>
      <c r="B50" s="5">
        <f>$A50+B$42</f>
        <v/>
      </c>
      <c r="C50" s="5">
        <f>$A50+C$42</f>
        <v/>
      </c>
      <c r="D50" s="5">
        <f>$A50+D$42</f>
        <v/>
      </c>
      <c r="E50" s="5">
        <f>$A50+E$42</f>
        <v/>
      </c>
      <c r="F50" s="5">
        <f>$A50+F$42</f>
        <v/>
      </c>
      <c r="G50" s="5">
        <f>$A50+G$42</f>
        <v/>
      </c>
      <c r="H50" s="5">
        <f>$A50+H$42</f>
        <v/>
      </c>
      <c r="I50" s="5" t="n"/>
      <c r="J50" s="5">
        <f>$A50+J$42</f>
        <v/>
      </c>
      <c r="K50" s="5" t="n"/>
      <c r="L50" s="5" t="n"/>
      <c r="M50" s="5" t="n"/>
      <c r="N50" s="5" t="n"/>
    </row>
    <row r="51" ht="12.5" customHeight="1" s="12">
      <c r="A51" s="5" t="n">
        <v>10</v>
      </c>
      <c r="B51" s="5">
        <f>$A51+B$42</f>
        <v/>
      </c>
      <c r="C51" s="5">
        <f>$A51+C$42</f>
        <v/>
      </c>
      <c r="D51" s="5">
        <f>$A51+D$42</f>
        <v/>
      </c>
      <c r="E51" s="5">
        <f>$A51+E$42</f>
        <v/>
      </c>
      <c r="F51" s="5">
        <f>$A51+F$42</f>
        <v/>
      </c>
      <c r="G51" s="5">
        <f>$A51+G$42</f>
        <v/>
      </c>
      <c r="H51" s="5">
        <f>$A51+H$42</f>
        <v/>
      </c>
      <c r="I51" s="5">
        <f>$A51+I$42</f>
        <v/>
      </c>
      <c r="J51" s="5" t="n"/>
      <c r="K51" s="5" t="n"/>
      <c r="L51" s="5" t="n"/>
      <c r="M51" s="5" t="n"/>
      <c r="N51" s="5" t="n"/>
    </row>
    <row r="52" ht="12.5" customHeight="1" s="12">
      <c r="A52" s="5" t="inlineStr">
        <is>
          <t>Ace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12.5" customHeight="1" s="1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 ht="12.5" customHeight="1" s="12">
      <c r="A54" s="5" t="inlineStr">
        <is>
          <t>Probability of each Total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12.5" customHeight="1" s="12">
      <c r="A55" s="5" t="n"/>
      <c r="B55" s="5" t="inlineStr">
        <is>
          <t>Card 2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 ht="12.5" customHeight="1" s="12">
      <c r="A56" s="5" t="inlineStr">
        <is>
          <t>Card 1</t>
        </is>
      </c>
      <c r="B56" s="5" t="n">
        <v>2</v>
      </c>
      <c r="C56" s="5" t="n">
        <v>3</v>
      </c>
      <c r="D56" s="5" t="n">
        <v>4</v>
      </c>
      <c r="E56" s="5" t="n">
        <v>5</v>
      </c>
      <c r="F56" s="5" t="n">
        <v>6</v>
      </c>
      <c r="G56" s="5" t="n">
        <v>7</v>
      </c>
      <c r="H56" s="5" t="n">
        <v>8</v>
      </c>
      <c r="I56" s="5" t="n">
        <v>9</v>
      </c>
      <c r="J56" s="5" t="n">
        <v>10</v>
      </c>
      <c r="K56" s="5" t="inlineStr">
        <is>
          <t>Ace</t>
        </is>
      </c>
      <c r="L56" s="5" t="n"/>
      <c r="M56" s="5" t="n"/>
      <c r="N56" s="5" t="n"/>
    </row>
    <row r="57" ht="12.5" customHeight="1" s="12">
      <c r="A57" s="5" t="n">
        <v>2</v>
      </c>
      <c r="B57" s="5">
        <f>1/13^2</f>
        <v/>
      </c>
      <c r="C57" s="5">
        <f>1/13^2</f>
        <v/>
      </c>
      <c r="D57" s="5">
        <f>1/13^2</f>
        <v/>
      </c>
      <c r="E57" s="5">
        <f>1/13^2</f>
        <v/>
      </c>
      <c r="F57" s="5">
        <f>1/13^2</f>
        <v/>
      </c>
      <c r="G57" s="5">
        <f>1/13^2</f>
        <v/>
      </c>
      <c r="H57" s="5">
        <f>1/13^2</f>
        <v/>
      </c>
      <c r="I57" s="5">
        <f>1/13^2</f>
        <v/>
      </c>
      <c r="J57" s="5">
        <f>(1/13)*(4/13)</f>
        <v/>
      </c>
      <c r="K57" s="5" t="n"/>
      <c r="L57" s="5" t="n"/>
      <c r="M57" s="5" t="n"/>
      <c r="N57" s="5" t="n"/>
    </row>
    <row r="58" ht="12.5" customHeight="1" s="12">
      <c r="A58" s="5" t="n">
        <v>3</v>
      </c>
      <c r="B58" s="5">
        <f>1/13^2</f>
        <v/>
      </c>
      <c r="C58" s="5">
        <f>1/13^2</f>
        <v/>
      </c>
      <c r="D58" s="5">
        <f>1/13^2</f>
        <v/>
      </c>
      <c r="E58" s="5">
        <f>1/13^2</f>
        <v/>
      </c>
      <c r="F58" s="5">
        <f>1/13^2</f>
        <v/>
      </c>
      <c r="G58" s="5">
        <f>1/13^2</f>
        <v/>
      </c>
      <c r="H58" s="5">
        <f>1/13^2</f>
        <v/>
      </c>
      <c r="I58" s="5">
        <f>1/13^2</f>
        <v/>
      </c>
      <c r="J58" s="5">
        <f>(1/13)*(4/13)</f>
        <v/>
      </c>
      <c r="K58" s="5" t="n"/>
      <c r="L58" s="5" t="n"/>
      <c r="M58" s="5" t="n"/>
      <c r="N58" s="5" t="n"/>
    </row>
    <row r="59" ht="12.5" customHeight="1" s="12">
      <c r="A59" s="5" t="n">
        <v>4</v>
      </c>
      <c r="B59" s="5">
        <f>1/13^2</f>
        <v/>
      </c>
      <c r="C59" s="5">
        <f>1/13^2</f>
        <v/>
      </c>
      <c r="D59" s="5">
        <f>1/13^2</f>
        <v/>
      </c>
      <c r="E59" s="5">
        <f>1/13^2</f>
        <v/>
      </c>
      <c r="F59" s="5">
        <f>1/13^2</f>
        <v/>
      </c>
      <c r="G59" s="5">
        <f>1/13^2</f>
        <v/>
      </c>
      <c r="H59" s="5">
        <f>1/13^2</f>
        <v/>
      </c>
      <c r="I59" s="5">
        <f>1/13^2</f>
        <v/>
      </c>
      <c r="J59" s="5">
        <f>(1/13)*(4/13)</f>
        <v/>
      </c>
      <c r="K59" s="5" t="n"/>
      <c r="L59" s="5" t="n"/>
      <c r="M59" s="5" t="n"/>
      <c r="N59" s="5" t="n"/>
    </row>
    <row r="60" ht="12.5" customHeight="1" s="12">
      <c r="A60" s="5" t="n">
        <v>5</v>
      </c>
      <c r="B60" s="5">
        <f>1/13^2</f>
        <v/>
      </c>
      <c r="C60" s="5">
        <f>1/13^2</f>
        <v/>
      </c>
      <c r="D60" s="5">
        <f>1/13^2</f>
        <v/>
      </c>
      <c r="E60" s="5">
        <f>1/13^2</f>
        <v/>
      </c>
      <c r="F60" s="5">
        <f>1/13^2</f>
        <v/>
      </c>
      <c r="G60" s="5">
        <f>1/13^2</f>
        <v/>
      </c>
      <c r="H60" s="5">
        <f>1/13^2</f>
        <v/>
      </c>
      <c r="I60" s="5">
        <f>1/13^2</f>
        <v/>
      </c>
      <c r="J60" s="5">
        <f>(1/13)*(4/13)</f>
        <v/>
      </c>
      <c r="K60" s="5" t="n"/>
      <c r="L60" s="5" t="n"/>
      <c r="M60" s="5" t="n"/>
      <c r="N60" s="5" t="n"/>
    </row>
    <row r="61" ht="12.5" customHeight="1" s="12">
      <c r="A61" s="5" t="n">
        <v>6</v>
      </c>
      <c r="B61" s="5">
        <f>1/13^2</f>
        <v/>
      </c>
      <c r="C61" s="5">
        <f>1/13^2</f>
        <v/>
      </c>
      <c r="D61" s="5">
        <f>1/13^2</f>
        <v/>
      </c>
      <c r="E61" s="5">
        <f>1/13^2</f>
        <v/>
      </c>
      <c r="F61" s="5">
        <f>1/13^2</f>
        <v/>
      </c>
      <c r="G61" s="5">
        <f>1/13^2</f>
        <v/>
      </c>
      <c r="H61" s="5">
        <f>1/13^2</f>
        <v/>
      </c>
      <c r="I61" s="5">
        <f>1/13^2</f>
        <v/>
      </c>
      <c r="J61" s="5">
        <f>(1/13)*(4/13)</f>
        <v/>
      </c>
      <c r="K61" s="5" t="n"/>
      <c r="L61" s="5" t="n"/>
      <c r="M61" s="5" t="n"/>
      <c r="N61" s="5" t="n"/>
    </row>
    <row r="62" ht="12.5" customHeight="1" s="12">
      <c r="A62" s="5" t="n">
        <v>7</v>
      </c>
      <c r="B62" s="5">
        <f>1/13^2</f>
        <v/>
      </c>
      <c r="C62" s="5">
        <f>1/13^2</f>
        <v/>
      </c>
      <c r="D62" s="5">
        <f>1/13^2</f>
        <v/>
      </c>
      <c r="E62" s="5">
        <f>1/13^2</f>
        <v/>
      </c>
      <c r="F62" s="5">
        <f>1/13^2</f>
        <v/>
      </c>
      <c r="G62" s="5">
        <f>1/13^2</f>
        <v/>
      </c>
      <c r="H62" s="5">
        <f>1/13^2</f>
        <v/>
      </c>
      <c r="I62" s="5">
        <f>1/13^2</f>
        <v/>
      </c>
      <c r="J62" s="5">
        <f>(1/13)*(4/13)</f>
        <v/>
      </c>
      <c r="K62" s="5" t="n"/>
      <c r="L62" s="5" t="n"/>
      <c r="M62" s="5" t="n"/>
      <c r="N62" s="5" t="n"/>
    </row>
    <row r="63" ht="12.5" customHeight="1" s="12">
      <c r="A63" s="5" t="n">
        <v>8</v>
      </c>
      <c r="B63" s="5">
        <f>1/13^2</f>
        <v/>
      </c>
      <c r="C63" s="5">
        <f>1/13^2</f>
        <v/>
      </c>
      <c r="D63" s="5">
        <f>1/13^2</f>
        <v/>
      </c>
      <c r="E63" s="5">
        <f>1/13^2</f>
        <v/>
      </c>
      <c r="F63" s="5">
        <f>1/13^2</f>
        <v/>
      </c>
      <c r="G63" s="5">
        <f>1/13^2</f>
        <v/>
      </c>
      <c r="H63" s="5">
        <f>1/13^2</f>
        <v/>
      </c>
      <c r="I63" s="5">
        <f>1/13^2</f>
        <v/>
      </c>
      <c r="J63" s="5">
        <f>(1/13)*(4/13)</f>
        <v/>
      </c>
      <c r="K63" s="5" t="n"/>
      <c r="L63" s="5" t="n"/>
      <c r="M63" s="5" t="n"/>
      <c r="N63" s="5" t="n"/>
    </row>
    <row r="64" ht="12.5" customHeight="1" s="12">
      <c r="A64" s="5" t="n">
        <v>9</v>
      </c>
      <c r="B64" s="5">
        <f>1/13^2</f>
        <v/>
      </c>
      <c r="C64" s="5">
        <f>1/13^2</f>
        <v/>
      </c>
      <c r="D64" s="5">
        <f>1/13^2</f>
        <v/>
      </c>
      <c r="E64" s="5">
        <f>1/13^2</f>
        <v/>
      </c>
      <c r="F64" s="5">
        <f>1/13^2</f>
        <v/>
      </c>
      <c r="G64" s="5">
        <f>1/13^2</f>
        <v/>
      </c>
      <c r="H64" s="5">
        <f>1/13^2</f>
        <v/>
      </c>
      <c r="I64" s="5">
        <f>1/13^2</f>
        <v/>
      </c>
      <c r="J64" s="5">
        <f>(1/13)*(4/13)</f>
        <v/>
      </c>
      <c r="K64" s="5" t="n"/>
      <c r="L64" s="5" t="n"/>
      <c r="M64" s="5" t="n"/>
      <c r="N64" s="5" t="n"/>
    </row>
    <row r="65" ht="12.5" customHeight="1" s="12">
      <c r="A65" s="5" t="n">
        <v>10</v>
      </c>
      <c r="B65" s="5">
        <f>(1/13)*(4/13)</f>
        <v/>
      </c>
      <c r="C65" s="5">
        <f>(1/13)*(4/13)</f>
        <v/>
      </c>
      <c r="D65" s="5">
        <f>(1/13)*(4/13)</f>
        <v/>
      </c>
      <c r="E65" s="5">
        <f>(1/13)*(4/13)</f>
        <v/>
      </c>
      <c r="F65" s="5">
        <f>(1/13)*(4/13)</f>
        <v/>
      </c>
      <c r="G65" s="5">
        <f>(1/13)*(4/13)</f>
        <v/>
      </c>
      <c r="H65" s="5">
        <f>(1/13)*(4/13)</f>
        <v/>
      </c>
      <c r="I65" s="5">
        <f>(1/13)*(4/13)</f>
        <v/>
      </c>
      <c r="J65" s="5">
        <f>(1/13)*(4/13)</f>
        <v/>
      </c>
      <c r="K65" s="5" t="n"/>
      <c r="L65" s="5" t="n"/>
      <c r="M65" s="5" t="n"/>
      <c r="N65" s="5" t="n"/>
    </row>
    <row r="66" ht="12.5" customHeight="1" s="12">
      <c r="A66" s="5" t="inlineStr">
        <is>
          <t>Ace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12.5" customHeight="1" s="1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 ht="12.5" customHeight="1" s="12">
      <c r="A68" s="5" t="inlineStr">
        <is>
          <t>Hard</t>
        </is>
      </c>
      <c r="B68" s="5" t="inlineStr">
        <is>
          <t>Probablility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12.5" customHeight="1" s="12">
      <c r="A69" s="5" t="n">
        <v>5</v>
      </c>
      <c r="B69" s="5">
        <f>SUMIF($B$43:$J$51,A69,$B$57:$J$65)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 ht="12.5" customHeight="1" s="12">
      <c r="A70" s="5" t="n">
        <v>6</v>
      </c>
      <c r="B70" s="5">
        <f>SUMIF($B$43:$J$51,A70,$B$57:$J$65)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12.5" customHeight="1" s="12">
      <c r="A71" s="5" t="n">
        <v>7</v>
      </c>
      <c r="B71" s="5">
        <f>SUMIF($B$43:$J$51,A71,$B$57:$J$65)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 ht="12.5" customHeight="1" s="12">
      <c r="A72" s="5" t="n">
        <v>8</v>
      </c>
      <c r="B72" s="5">
        <f>SUMIF($B$43:$J$51,A72,$B$57:$J$65)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12.5" customHeight="1" s="12">
      <c r="A73" s="5" t="n">
        <v>9</v>
      </c>
      <c r="B73" s="5">
        <f>SUMIF($B$43:$J$51,A73,$B$57:$J$65)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 ht="12.5" customHeight="1" s="12">
      <c r="A74" s="5" t="n">
        <v>10</v>
      </c>
      <c r="B74" s="5">
        <f>SUMIF($B$43:$J$51,A74,$B$57:$J$65)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12.5" customHeight="1" s="12">
      <c r="A75" s="5" t="n">
        <v>11</v>
      </c>
      <c r="B75" s="5">
        <f>SUMIF($B$43:$J$51,A75,$B$57:$J$65)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 ht="12.5" customHeight="1" s="12">
      <c r="A76" s="5" t="n">
        <v>12</v>
      </c>
      <c r="B76" s="5">
        <f>SUMIF($B$43:$J$51,A76,$B$57:$J$65)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12.5" customHeight="1" s="12">
      <c r="A77" s="5" t="n">
        <v>13</v>
      </c>
      <c r="B77" s="5">
        <f>SUMIF($B$43:$J$51,A77,$B$57:$J$65)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 ht="12.5" customHeight="1" s="12">
      <c r="A78" s="5" t="n">
        <v>14</v>
      </c>
      <c r="B78" s="5">
        <f>SUMIF($B$43:$J$51,A78,$B$57:$J$65)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12.5" customHeight="1" s="12">
      <c r="A79" s="5" t="n">
        <v>15</v>
      </c>
      <c r="B79" s="5">
        <f>SUMIF($B$43:$J$51,A79,$B$57:$J$65)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 ht="12.5" customHeight="1" s="12">
      <c r="A80" s="5" t="n">
        <v>16</v>
      </c>
      <c r="B80" s="5">
        <f>SUMIF($B$43:$J$51,A80,$B$57:$J$65)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12.5" customHeight="1" s="12">
      <c r="A81" s="5" t="n">
        <v>17</v>
      </c>
      <c r="B81" s="5">
        <f>SUMIF($B$43:$J$51,A81,$B$57:$J$65)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 ht="12.5" customHeight="1" s="12">
      <c r="A82" s="5" t="n">
        <v>18</v>
      </c>
      <c r="B82" s="5">
        <f>SUMIF($B$43:$J$51,A82,$B$57:$J$65)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12.5" customHeight="1" s="12">
      <c r="A83" s="5" t="n">
        <v>19</v>
      </c>
      <c r="B83" s="5">
        <f>SUMIF($B$43:$J$51,A83,$B$57:$J$65)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 ht="12.5" customHeight="1" s="12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5">
        <f>HSD!B3</f>
        <v/>
      </c>
      <c r="C4" s="5">
        <f>HSD!C3</f>
        <v/>
      </c>
      <c r="D4" s="5">
        <f>HSD!D3</f>
        <v/>
      </c>
      <c r="E4" s="5">
        <f>HSD!E3</f>
        <v/>
      </c>
      <c r="F4" s="5">
        <f>HSD!F3</f>
        <v/>
      </c>
      <c r="G4" s="5">
        <f>HSD!G3</f>
        <v/>
      </c>
      <c r="H4" s="5">
        <f>HSD!H3</f>
        <v/>
      </c>
      <c r="I4" s="5">
        <f>HSD!I3</f>
        <v/>
      </c>
      <c r="J4" s="5">
        <f>HSD!J3</f>
        <v/>
      </c>
      <c r="K4" s="5">
        <f>HSD!K3</f>
        <v/>
      </c>
    </row>
    <row r="5" ht="15.75" customHeight="1" s="12">
      <c r="A5" s="5" t="n">
        <v>6</v>
      </c>
      <c r="B5" s="5">
        <f>HSD!B4</f>
        <v/>
      </c>
      <c r="C5" s="5">
        <f>HSD!C4</f>
        <v/>
      </c>
      <c r="D5" s="5">
        <f>HSD!D4</f>
        <v/>
      </c>
      <c r="E5" s="5">
        <f>HSD!E4</f>
        <v/>
      </c>
      <c r="F5" s="5">
        <f>HSD!F4</f>
        <v/>
      </c>
      <c r="G5" s="5">
        <f>HSD!G4</f>
        <v/>
      </c>
      <c r="H5" s="5">
        <f>HSD!H4</f>
        <v/>
      </c>
      <c r="I5" s="5">
        <f>HSD!I4</f>
        <v/>
      </c>
      <c r="J5" s="5">
        <f>HSD!J4</f>
        <v/>
      </c>
      <c r="K5" s="5">
        <f>HSD!K4</f>
        <v/>
      </c>
    </row>
    <row r="6" ht="15.75" customHeight="1" s="12">
      <c r="A6" s="5" t="n">
        <v>7</v>
      </c>
      <c r="B6" s="5">
        <f>HSD!B5</f>
        <v/>
      </c>
      <c r="C6" s="5">
        <f>HSD!C5</f>
        <v/>
      </c>
      <c r="D6" s="5">
        <f>HSD!D5</f>
        <v/>
      </c>
      <c r="E6" s="5">
        <f>HSD!E5</f>
        <v/>
      </c>
      <c r="F6" s="5">
        <f>HSD!F5</f>
        <v/>
      </c>
      <c r="G6" s="5">
        <f>HSD!G5</f>
        <v/>
      </c>
      <c r="H6" s="5">
        <f>HSD!H5</f>
        <v/>
      </c>
      <c r="I6" s="5">
        <f>HSD!I5</f>
        <v/>
      </c>
      <c r="J6" s="5">
        <f>HSD!J5</f>
        <v/>
      </c>
      <c r="K6" s="5">
        <f>HSD!K5</f>
        <v/>
      </c>
    </row>
    <row r="7" ht="15.75" customHeight="1" s="12">
      <c r="A7" s="5" t="n">
        <v>8</v>
      </c>
      <c r="B7" s="5">
        <f>HSD!B6</f>
        <v/>
      </c>
      <c r="C7" s="5">
        <f>HSD!C6</f>
        <v/>
      </c>
      <c r="D7" s="5">
        <f>HSD!D6</f>
        <v/>
      </c>
      <c r="E7" s="5">
        <f>HSD!E6</f>
        <v/>
      </c>
      <c r="F7" s="5">
        <f>HSD!F6</f>
        <v/>
      </c>
      <c r="G7" s="5">
        <f>HSD!G6</f>
        <v/>
      </c>
      <c r="H7" s="5">
        <f>HSD!H6</f>
        <v/>
      </c>
      <c r="I7" s="5">
        <f>HSD!I6</f>
        <v/>
      </c>
      <c r="J7" s="5">
        <f>HSD!J6</f>
        <v/>
      </c>
      <c r="K7" s="5">
        <f>HSD!K6</f>
        <v/>
      </c>
    </row>
    <row r="8" ht="15.75" customHeight="1" s="12">
      <c r="A8" s="5" t="n">
        <v>9</v>
      </c>
      <c r="B8" s="5">
        <f>HSD!B7</f>
        <v/>
      </c>
      <c r="C8" s="5">
        <f>HSD!C7</f>
        <v/>
      </c>
      <c r="D8" s="5">
        <f>HSD!D7</f>
        <v/>
      </c>
      <c r="E8" s="5">
        <f>HSD!E7</f>
        <v/>
      </c>
      <c r="F8" s="5">
        <f>HSD!F7</f>
        <v/>
      </c>
      <c r="G8" s="5">
        <f>HSD!G7</f>
        <v/>
      </c>
      <c r="H8" s="5">
        <f>HSD!H7</f>
        <v/>
      </c>
      <c r="I8" s="5">
        <f>HSD!I7</f>
        <v/>
      </c>
      <c r="J8" s="5">
        <f>HSD!J7</f>
        <v/>
      </c>
      <c r="K8" s="5">
        <f>HSD!K7</f>
        <v/>
      </c>
    </row>
    <row r="9" ht="15.75" customHeight="1" s="12">
      <c r="A9" s="5" t="n">
        <v>10</v>
      </c>
      <c r="B9" s="5">
        <f>HSD!B8</f>
        <v/>
      </c>
      <c r="C9" s="5">
        <f>HSD!C8</f>
        <v/>
      </c>
      <c r="D9" s="5">
        <f>HSD!D8</f>
        <v/>
      </c>
      <c r="E9" s="5">
        <f>HSD!E8</f>
        <v/>
      </c>
      <c r="F9" s="5">
        <f>HSD!F8</f>
        <v/>
      </c>
      <c r="G9" s="5">
        <f>HSD!G8</f>
        <v/>
      </c>
      <c r="H9" s="5">
        <f>HSD!H8</f>
        <v/>
      </c>
      <c r="I9" s="5">
        <f>HSD!I8</f>
        <v/>
      </c>
      <c r="J9" s="5">
        <f>HSD!J8</f>
        <v/>
      </c>
      <c r="K9" s="5">
        <f>HSD!K8</f>
        <v/>
      </c>
    </row>
    <row r="10" ht="15.75" customHeight="1" s="12">
      <c r="A10" s="5" t="n">
        <v>11</v>
      </c>
      <c r="B10" s="5">
        <f>HSD!B9</f>
        <v/>
      </c>
      <c r="C10" s="5">
        <f>HSD!C9</f>
        <v/>
      </c>
      <c r="D10" s="5">
        <f>HSD!D9</f>
        <v/>
      </c>
      <c r="E10" s="5">
        <f>HSD!E9</f>
        <v/>
      </c>
      <c r="F10" s="5">
        <f>HSD!F9</f>
        <v/>
      </c>
      <c r="G10" s="5">
        <f>HSD!G9</f>
        <v/>
      </c>
      <c r="H10" s="5">
        <f>HSD!H9</f>
        <v/>
      </c>
      <c r="I10" s="5">
        <f>HSD!I9</f>
        <v/>
      </c>
      <c r="J10" s="5">
        <f>HSD!J9</f>
        <v/>
      </c>
      <c r="K10" s="5">
        <f>HSD!K9</f>
        <v/>
      </c>
    </row>
    <row r="11" ht="15.75" customHeight="1" s="12">
      <c r="A11" s="5" t="n">
        <v>12</v>
      </c>
      <c r="B11" s="5">
        <f>HSD!B10</f>
        <v/>
      </c>
      <c r="C11" s="5">
        <f>HSD!C10</f>
        <v/>
      </c>
      <c r="D11" s="5">
        <f>HSD!D10</f>
        <v/>
      </c>
      <c r="E11" s="5">
        <f>HSD!E10</f>
        <v/>
      </c>
      <c r="F11" s="5">
        <f>HSD!F10</f>
        <v/>
      </c>
      <c r="G11" s="5">
        <f>HSD!G10</f>
        <v/>
      </c>
      <c r="H11" s="5">
        <f>HSD!H10</f>
        <v/>
      </c>
      <c r="I11" s="5">
        <f>HSD!I10</f>
        <v/>
      </c>
      <c r="J11" s="5">
        <f>HSD!J10</f>
        <v/>
      </c>
      <c r="K11" s="5">
        <f>HSD!K10</f>
        <v/>
      </c>
    </row>
    <row r="12" ht="15.75" customHeight="1" s="12">
      <c r="A12" s="5" t="n">
        <v>13</v>
      </c>
      <c r="B12" s="5">
        <f>HSD!B11</f>
        <v/>
      </c>
      <c r="C12" s="5">
        <f>HSD!C11</f>
        <v/>
      </c>
      <c r="D12" s="5">
        <f>HSD!D11</f>
        <v/>
      </c>
      <c r="E12" s="5">
        <f>HSD!E11</f>
        <v/>
      </c>
      <c r="F12" s="5">
        <f>HSD!F11</f>
        <v/>
      </c>
      <c r="G12" s="5">
        <f>HSD!G11</f>
        <v/>
      </c>
      <c r="H12" s="5">
        <f>HSD!H11</f>
        <v/>
      </c>
      <c r="I12" s="5">
        <f>HSD!I11</f>
        <v/>
      </c>
      <c r="J12" s="5">
        <f>HSD!J11</f>
        <v/>
      </c>
      <c r="K12" s="5">
        <f>HSD!K11</f>
        <v/>
      </c>
    </row>
    <row r="13" ht="15.75" customHeight="1" s="12">
      <c r="A13" s="5" t="n">
        <v>14</v>
      </c>
      <c r="B13" s="5">
        <f>HSD!B12</f>
        <v/>
      </c>
      <c r="C13" s="5">
        <f>HSD!C12</f>
        <v/>
      </c>
      <c r="D13" s="5">
        <f>HSD!D12</f>
        <v/>
      </c>
      <c r="E13" s="5">
        <f>HSD!E12</f>
        <v/>
      </c>
      <c r="F13" s="5">
        <f>HSD!F12</f>
        <v/>
      </c>
      <c r="G13" s="5">
        <f>HSD!G12</f>
        <v/>
      </c>
      <c r="H13" s="5">
        <f>HSD!H12</f>
        <v/>
      </c>
      <c r="I13" s="5">
        <f>HSD!I12</f>
        <v/>
      </c>
      <c r="J13" s="5">
        <f>HSD!J12</f>
        <v/>
      </c>
      <c r="K13" s="5">
        <f>HSD!K12</f>
        <v/>
      </c>
    </row>
    <row r="14" ht="15.75" customHeight="1" s="12">
      <c r="A14" s="5" t="n">
        <v>15</v>
      </c>
      <c r="B14" s="5">
        <f>HSD!B13</f>
        <v/>
      </c>
      <c r="C14" s="5">
        <f>HSD!C13</f>
        <v/>
      </c>
      <c r="D14" s="5">
        <f>HSD!D13</f>
        <v/>
      </c>
      <c r="E14" s="5">
        <f>HSD!E13</f>
        <v/>
      </c>
      <c r="F14" s="5">
        <f>HSD!F13</f>
        <v/>
      </c>
      <c r="G14" s="5">
        <f>HSD!G13</f>
        <v/>
      </c>
      <c r="H14" s="5">
        <f>HSD!H13</f>
        <v/>
      </c>
      <c r="I14" s="5">
        <f>HSD!I13</f>
        <v/>
      </c>
      <c r="J14" s="5">
        <f>HSD!J13</f>
        <v/>
      </c>
      <c r="K14" s="5">
        <f>HSD!K13</f>
        <v/>
      </c>
    </row>
    <row r="15" ht="15.75" customHeight="1" s="12">
      <c r="A15" s="5" t="n">
        <v>16</v>
      </c>
      <c r="B15" s="5">
        <f>HSD!B14</f>
        <v/>
      </c>
      <c r="C15" s="5">
        <f>HSD!C14</f>
        <v/>
      </c>
      <c r="D15" s="5">
        <f>HSD!D14</f>
        <v/>
      </c>
      <c r="E15" s="5">
        <f>HSD!E14</f>
        <v/>
      </c>
      <c r="F15" s="5">
        <f>HSD!F14</f>
        <v/>
      </c>
      <c r="G15" s="5">
        <f>HSD!G14</f>
        <v/>
      </c>
      <c r="H15" s="5">
        <f>HSD!H14</f>
        <v/>
      </c>
      <c r="I15" s="5">
        <f>HSD!I14</f>
        <v/>
      </c>
      <c r="J15" s="5">
        <f>HSD!J14</f>
        <v/>
      </c>
      <c r="K15" s="5">
        <f>HSD!K14</f>
        <v/>
      </c>
    </row>
    <row r="16" ht="15.75" customHeight="1" s="12">
      <c r="A16" s="5" t="n">
        <v>17</v>
      </c>
      <c r="B16" s="5">
        <f>HSD!B15</f>
        <v/>
      </c>
      <c r="C16" s="5">
        <f>HSD!C15</f>
        <v/>
      </c>
      <c r="D16" s="5">
        <f>HSD!D15</f>
        <v/>
      </c>
      <c r="E16" s="5">
        <f>HSD!E15</f>
        <v/>
      </c>
      <c r="F16" s="5">
        <f>HSD!F15</f>
        <v/>
      </c>
      <c r="G16" s="5">
        <f>HSD!G15</f>
        <v/>
      </c>
      <c r="H16" s="5">
        <f>HSD!H15</f>
        <v/>
      </c>
      <c r="I16" s="5">
        <f>HSD!I15</f>
        <v/>
      </c>
      <c r="J16" s="5">
        <f>HSD!J15</f>
        <v/>
      </c>
      <c r="K16" s="5">
        <f>HSD!K15</f>
        <v/>
      </c>
    </row>
    <row r="17" ht="15.75" customHeight="1" s="12">
      <c r="A17" s="5" t="n">
        <v>18</v>
      </c>
      <c r="B17" s="5">
        <f>HSD!B16</f>
        <v/>
      </c>
      <c r="C17" s="5">
        <f>HSD!C16</f>
        <v/>
      </c>
      <c r="D17" s="5">
        <f>HSD!D16</f>
        <v/>
      </c>
      <c r="E17" s="5">
        <f>HSD!E16</f>
        <v/>
      </c>
      <c r="F17" s="5">
        <f>HSD!F16</f>
        <v/>
      </c>
      <c r="G17" s="5">
        <f>HSD!G16</f>
        <v/>
      </c>
      <c r="H17" s="5">
        <f>HSD!H16</f>
        <v/>
      </c>
      <c r="I17" s="5">
        <f>HSD!I16</f>
        <v/>
      </c>
      <c r="J17" s="5">
        <f>HSD!J16</f>
        <v/>
      </c>
      <c r="K17" s="5">
        <f>HSD!K16</f>
        <v/>
      </c>
    </row>
    <row r="18" ht="15.75" customHeight="1" s="12">
      <c r="A18" s="5" t="n">
        <v>19</v>
      </c>
      <c r="B18" s="5">
        <f>HSD!B17</f>
        <v/>
      </c>
      <c r="C18" s="5">
        <f>HSD!C17</f>
        <v/>
      </c>
      <c r="D18" s="5">
        <f>HSD!D17</f>
        <v/>
      </c>
      <c r="E18" s="5">
        <f>HSD!E17</f>
        <v/>
      </c>
      <c r="F18" s="5">
        <f>HSD!F17</f>
        <v/>
      </c>
      <c r="G18" s="5">
        <f>HSD!G17</f>
        <v/>
      </c>
      <c r="H18" s="5">
        <f>HSD!H17</f>
        <v/>
      </c>
      <c r="I18" s="5">
        <f>HSD!I17</f>
        <v/>
      </c>
      <c r="J18" s="5">
        <f>HSD!J17</f>
        <v/>
      </c>
      <c r="K18" s="5">
        <f>HSD!K17</f>
        <v/>
      </c>
    </row>
    <row r="19" ht="15.75" customHeight="1" s="12">
      <c r="A19" s="5" t="inlineStr">
        <is>
          <t>Soft</t>
        </is>
      </c>
    </row>
    <row r="20" ht="15.75" customHeight="1" s="12">
      <c r="A20" s="5" t="n">
        <v>13</v>
      </c>
      <c r="B20" s="5">
        <f>HSDR!B33</f>
        <v/>
      </c>
      <c r="C20" s="5">
        <f>HSDR!C33</f>
        <v/>
      </c>
      <c r="D20" s="5">
        <f>HSDR!D33</f>
        <v/>
      </c>
      <c r="E20" s="5">
        <f>HSDR!E33</f>
        <v/>
      </c>
      <c r="F20" s="5">
        <f>HSDR!F33</f>
        <v/>
      </c>
      <c r="G20" s="5">
        <f>HSDR!G33</f>
        <v/>
      </c>
      <c r="H20" s="5">
        <f>HSDR!H33</f>
        <v/>
      </c>
      <c r="I20" s="5">
        <f>HSDR!I33</f>
        <v/>
      </c>
      <c r="J20" s="5">
        <f>HSDR!J33</f>
        <v/>
      </c>
      <c r="K20" s="5">
        <f>HSDR!K33</f>
        <v/>
      </c>
    </row>
    <row r="21" ht="15.75" customHeight="1" s="12">
      <c r="A21" s="5" t="n">
        <v>14</v>
      </c>
      <c r="B21" s="5">
        <f>HSDR!B34</f>
        <v/>
      </c>
      <c r="C21" s="5">
        <f>HSDR!C34</f>
        <v/>
      </c>
      <c r="D21" s="5">
        <f>HSDR!D34</f>
        <v/>
      </c>
      <c r="E21" s="5">
        <f>HSDR!E34</f>
        <v/>
      </c>
      <c r="F21" s="5">
        <f>HSDR!F34</f>
        <v/>
      </c>
      <c r="G21" s="5">
        <f>HSDR!G34</f>
        <v/>
      </c>
      <c r="H21" s="5">
        <f>HSDR!H34</f>
        <v/>
      </c>
      <c r="I21" s="5">
        <f>HSDR!I34</f>
        <v/>
      </c>
      <c r="J21" s="5">
        <f>HSDR!J34</f>
        <v/>
      </c>
      <c r="K21" s="5">
        <f>HSDR!K34</f>
        <v/>
      </c>
    </row>
    <row r="22" ht="15.75" customHeight="1" s="12">
      <c r="A22" s="5" t="n">
        <v>15</v>
      </c>
      <c r="B22" s="5">
        <f>HSDR!B35</f>
        <v/>
      </c>
      <c r="C22" s="5">
        <f>HSDR!C35</f>
        <v/>
      </c>
      <c r="D22" s="5">
        <f>HSDR!D35</f>
        <v/>
      </c>
      <c r="E22" s="5">
        <f>HSDR!E35</f>
        <v/>
      </c>
      <c r="F22" s="5">
        <f>HSDR!F35</f>
        <v/>
      </c>
      <c r="G22" s="5">
        <f>HSDR!G35</f>
        <v/>
      </c>
      <c r="H22" s="5">
        <f>HSDR!H35</f>
        <v/>
      </c>
      <c r="I22" s="5">
        <f>HSDR!I35</f>
        <v/>
      </c>
      <c r="J22" s="5">
        <f>HSDR!J35</f>
        <v/>
      </c>
      <c r="K22" s="5">
        <f>HSDR!K35</f>
        <v/>
      </c>
    </row>
    <row r="23" ht="12.5" customHeight="1" s="12">
      <c r="A23" s="5" t="n">
        <v>16</v>
      </c>
      <c r="B23" s="5">
        <f>HSDR!B36</f>
        <v/>
      </c>
      <c r="C23" s="5">
        <f>HSDR!C36</f>
        <v/>
      </c>
      <c r="D23" s="5">
        <f>HSDR!D36</f>
        <v/>
      </c>
      <c r="E23" s="5">
        <f>HSDR!E36</f>
        <v/>
      </c>
      <c r="F23" s="5">
        <f>HSDR!F36</f>
        <v/>
      </c>
      <c r="G23" s="5">
        <f>HSDR!G36</f>
        <v/>
      </c>
      <c r="H23" s="5">
        <f>HSDR!H36</f>
        <v/>
      </c>
      <c r="I23" s="5">
        <f>HSDR!I36</f>
        <v/>
      </c>
      <c r="J23" s="5">
        <f>HSDR!J36</f>
        <v/>
      </c>
      <c r="K23" s="5">
        <f>HSDR!K36</f>
        <v/>
      </c>
    </row>
    <row r="24" ht="12.5" customHeight="1" s="12">
      <c r="A24" s="5" t="n">
        <v>17</v>
      </c>
      <c r="B24" s="5">
        <f>HSDR!B37</f>
        <v/>
      </c>
      <c r="C24" s="5">
        <f>HSDR!C37</f>
        <v/>
      </c>
      <c r="D24" s="5">
        <f>HSDR!D37</f>
        <v/>
      </c>
      <c r="E24" s="5">
        <f>HSDR!E37</f>
        <v/>
      </c>
      <c r="F24" s="5">
        <f>HSDR!F37</f>
        <v/>
      </c>
      <c r="G24" s="5">
        <f>HSDR!G37</f>
        <v/>
      </c>
      <c r="H24" s="5">
        <f>HSDR!H37</f>
        <v/>
      </c>
      <c r="I24" s="5">
        <f>HSDR!I37</f>
        <v/>
      </c>
      <c r="J24" s="5">
        <f>HSDR!J37</f>
        <v/>
      </c>
      <c r="K24" s="5">
        <f>HSDR!K37</f>
        <v/>
      </c>
    </row>
    <row r="25" ht="12.5" customHeight="1" s="12">
      <c r="A25" s="5" t="n">
        <v>18</v>
      </c>
      <c r="B25" s="5">
        <f>HSDR!B38</f>
        <v/>
      </c>
      <c r="C25" s="5">
        <f>HSDR!C38</f>
        <v/>
      </c>
      <c r="D25" s="5">
        <f>HSDR!D38</f>
        <v/>
      </c>
      <c r="E25" s="5">
        <f>HSDR!E38</f>
        <v/>
      </c>
      <c r="F25" s="5">
        <f>HSDR!F38</f>
        <v/>
      </c>
      <c r="G25" s="5">
        <f>HSDR!G38</f>
        <v/>
      </c>
      <c r="H25" s="5">
        <f>HSDR!H38</f>
        <v/>
      </c>
      <c r="I25" s="5">
        <f>HSDR!I38</f>
        <v/>
      </c>
      <c r="J25" s="5">
        <f>HSDR!J38</f>
        <v/>
      </c>
      <c r="K25" s="5">
        <f>HSDR!K38</f>
        <v/>
      </c>
    </row>
    <row r="26" ht="12.5" customHeight="1" s="12">
      <c r="A26" s="5" t="n">
        <v>19</v>
      </c>
      <c r="B26" s="5">
        <f>HSDR!B39</f>
        <v/>
      </c>
      <c r="C26" s="5">
        <f>HSDR!C39</f>
        <v/>
      </c>
      <c r="D26" s="5">
        <f>HSDR!D39</f>
        <v/>
      </c>
      <c r="E26" s="5">
        <f>HSDR!E39</f>
        <v/>
      </c>
      <c r="F26" s="5">
        <f>HSDR!F39</f>
        <v/>
      </c>
      <c r="G26" s="5">
        <f>HSDR!G39</f>
        <v/>
      </c>
      <c r="H26" s="5">
        <f>HSDR!H39</f>
        <v/>
      </c>
      <c r="I26" s="5">
        <f>HSDR!I39</f>
        <v/>
      </c>
      <c r="J26" s="5">
        <f>HSDR!J39</f>
        <v/>
      </c>
      <c r="K26" s="5">
        <f>HSDR!K39</f>
        <v/>
      </c>
    </row>
    <row r="27" ht="12.5" customHeight="1" s="12">
      <c r="A27" s="5" t="n">
        <v>20</v>
      </c>
      <c r="B27" s="5">
        <f>HSDR!B40</f>
        <v/>
      </c>
      <c r="C27" s="5">
        <f>HSDR!C40</f>
        <v/>
      </c>
      <c r="D27" s="5">
        <f>HSDR!D40</f>
        <v/>
      </c>
      <c r="E27" s="5">
        <f>HSDR!E40</f>
        <v/>
      </c>
      <c r="F27" s="5">
        <f>HSDR!F40</f>
        <v/>
      </c>
      <c r="G27" s="5">
        <f>HSDR!G40</f>
        <v/>
      </c>
      <c r="H27" s="5">
        <f>HSDR!H40</f>
        <v/>
      </c>
      <c r="I27" s="5">
        <f>HSDR!I40</f>
        <v/>
      </c>
      <c r="J27" s="5">
        <f>HSDR!J40</f>
        <v/>
      </c>
      <c r="K27" s="5">
        <f>HSDR!K40</f>
        <v/>
      </c>
    </row>
    <row r="28" ht="12.5" customHeight="1" s="12">
      <c r="A28" s="5" t="n">
        <v>21</v>
      </c>
      <c r="B28" s="5" t="n">
        <v>1.5</v>
      </c>
      <c r="C28" s="5" t="n">
        <v>1.5</v>
      </c>
      <c r="D28" s="5" t="n">
        <v>1.5</v>
      </c>
      <c r="E28" s="5" t="n">
        <v>1.5</v>
      </c>
      <c r="F28" s="5" t="n">
        <v>1.5</v>
      </c>
      <c r="G28" s="5" t="n">
        <v>1.5</v>
      </c>
      <c r="H28" s="5" t="n">
        <v>1.5</v>
      </c>
      <c r="I28" s="5" t="n">
        <v>1.5</v>
      </c>
      <c r="J28" s="5" t="n">
        <v>1.5</v>
      </c>
      <c r="K28" s="5" t="n">
        <v>1.5</v>
      </c>
    </row>
    <row r="29" ht="12.5" customHeight="1" s="12">
      <c r="A29" s="5" t="inlineStr">
        <is>
          <t>Pairs</t>
        </is>
      </c>
    </row>
    <row r="30" ht="12.5" customHeight="1" s="12">
      <c r="A30" s="5" t="n">
        <v>2</v>
      </c>
      <c r="B30" s="5">
        <f>Split!B16</f>
        <v/>
      </c>
      <c r="C30" s="5">
        <f>Split!C16</f>
        <v/>
      </c>
      <c r="D30" s="5">
        <f>Split!D16</f>
        <v/>
      </c>
      <c r="E30" s="5">
        <f>Split!E16</f>
        <v/>
      </c>
      <c r="F30" s="5">
        <f>Split!F16</f>
        <v/>
      </c>
      <c r="G30" s="5">
        <f>Split!G16</f>
        <v/>
      </c>
      <c r="H30" s="5">
        <f>Split!H16</f>
        <v/>
      </c>
      <c r="I30" s="5">
        <f>Split!I16</f>
        <v/>
      </c>
      <c r="J30" s="5">
        <f>Split!J16</f>
        <v/>
      </c>
      <c r="K30" s="5">
        <f>Split!K16</f>
        <v/>
      </c>
    </row>
    <row r="31" ht="12.5" customHeight="1" s="12">
      <c r="A31" s="5" t="n">
        <v>3</v>
      </c>
      <c r="B31" s="5">
        <f>Split!B17</f>
        <v/>
      </c>
      <c r="C31" s="5">
        <f>Split!C17</f>
        <v/>
      </c>
      <c r="D31" s="5">
        <f>Split!D17</f>
        <v/>
      </c>
      <c r="E31" s="5">
        <f>Split!E17</f>
        <v/>
      </c>
      <c r="F31" s="5">
        <f>Split!F17</f>
        <v/>
      </c>
      <c r="G31" s="5">
        <f>Split!G17</f>
        <v/>
      </c>
      <c r="H31" s="5">
        <f>Split!H17</f>
        <v/>
      </c>
      <c r="I31" s="5">
        <f>Split!I17</f>
        <v/>
      </c>
      <c r="J31" s="5">
        <f>Split!J17</f>
        <v/>
      </c>
      <c r="K31" s="5">
        <f>Split!K17</f>
        <v/>
      </c>
    </row>
    <row r="32" ht="12.5" customHeight="1" s="12">
      <c r="A32" s="5" t="n">
        <v>4</v>
      </c>
      <c r="B32" s="5">
        <f>Split!B18</f>
        <v/>
      </c>
      <c r="C32" s="5">
        <f>Split!C18</f>
        <v/>
      </c>
      <c r="D32" s="5">
        <f>Split!D18</f>
        <v/>
      </c>
      <c r="E32" s="5">
        <f>Split!E18</f>
        <v/>
      </c>
      <c r="F32" s="5">
        <f>Split!F18</f>
        <v/>
      </c>
      <c r="G32" s="5">
        <f>Split!G18</f>
        <v/>
      </c>
      <c r="H32" s="5">
        <f>Split!H18</f>
        <v/>
      </c>
      <c r="I32" s="5">
        <f>Split!I18</f>
        <v/>
      </c>
      <c r="J32" s="5">
        <f>Split!J18</f>
        <v/>
      </c>
      <c r="K32" s="5">
        <f>Split!K18</f>
        <v/>
      </c>
    </row>
    <row r="33" ht="12.5" customHeight="1" s="12">
      <c r="A33" s="5" t="n">
        <v>5</v>
      </c>
      <c r="B33" s="5">
        <f>Split!B19</f>
        <v/>
      </c>
      <c r="C33" s="5">
        <f>Split!C19</f>
        <v/>
      </c>
      <c r="D33" s="5">
        <f>Split!D19</f>
        <v/>
      </c>
      <c r="E33" s="5">
        <f>Split!E19</f>
        <v/>
      </c>
      <c r="F33" s="5">
        <f>Split!F19</f>
        <v/>
      </c>
      <c r="G33" s="5">
        <f>Split!G19</f>
        <v/>
      </c>
      <c r="H33" s="5">
        <f>Split!H19</f>
        <v/>
      </c>
      <c r="I33" s="5">
        <f>Split!I19</f>
        <v/>
      </c>
      <c r="J33" s="5">
        <f>Split!J19</f>
        <v/>
      </c>
      <c r="K33" s="5">
        <f>Split!K19</f>
        <v/>
      </c>
    </row>
    <row r="34" ht="12.5" customHeight="1" s="12">
      <c r="A34" s="5" t="n">
        <v>6</v>
      </c>
      <c r="B34" s="5">
        <f>Split!B20</f>
        <v/>
      </c>
      <c r="C34" s="5">
        <f>Split!C20</f>
        <v/>
      </c>
      <c r="D34" s="5">
        <f>Split!D20</f>
        <v/>
      </c>
      <c r="E34" s="5">
        <f>Split!E20</f>
        <v/>
      </c>
      <c r="F34" s="5">
        <f>Split!F20</f>
        <v/>
      </c>
      <c r="G34" s="5">
        <f>Split!G20</f>
        <v/>
      </c>
      <c r="H34" s="5">
        <f>Split!H20</f>
        <v/>
      </c>
      <c r="I34" s="5">
        <f>Split!I20</f>
        <v/>
      </c>
      <c r="J34" s="5">
        <f>Split!J20</f>
        <v/>
      </c>
      <c r="K34" s="5">
        <f>Split!K20</f>
        <v/>
      </c>
    </row>
    <row r="35" ht="12.5" customHeight="1" s="12">
      <c r="A35" s="5" t="n">
        <v>7</v>
      </c>
      <c r="B35" s="5">
        <f>Split!B21</f>
        <v/>
      </c>
      <c r="C35" s="5">
        <f>Split!C21</f>
        <v/>
      </c>
      <c r="D35" s="5">
        <f>Split!D21</f>
        <v/>
      </c>
      <c r="E35" s="5">
        <f>Split!E21</f>
        <v/>
      </c>
      <c r="F35" s="5">
        <f>Split!F21</f>
        <v/>
      </c>
      <c r="G35" s="5">
        <f>Split!G21</f>
        <v/>
      </c>
      <c r="H35" s="5">
        <f>Split!H21</f>
        <v/>
      </c>
      <c r="I35" s="5">
        <f>Split!I21</f>
        <v/>
      </c>
      <c r="J35" s="5">
        <f>Split!J21</f>
        <v/>
      </c>
      <c r="K35" s="5">
        <f>Split!K21</f>
        <v/>
      </c>
    </row>
    <row r="36" ht="12.5" customHeight="1" s="12">
      <c r="A36" s="5" t="n">
        <v>8</v>
      </c>
      <c r="B36" s="5">
        <f>Split!B22</f>
        <v/>
      </c>
      <c r="C36" s="5">
        <f>Split!C22</f>
        <v/>
      </c>
      <c r="D36" s="5">
        <f>Split!D22</f>
        <v/>
      </c>
      <c r="E36" s="5">
        <f>Split!E22</f>
        <v/>
      </c>
      <c r="F36" s="5">
        <f>Split!F22</f>
        <v/>
      </c>
      <c r="G36" s="5">
        <f>Split!G22</f>
        <v/>
      </c>
      <c r="H36" s="5">
        <f>Split!H22</f>
        <v/>
      </c>
      <c r="I36" s="5">
        <f>Split!I22</f>
        <v/>
      </c>
      <c r="J36" s="5">
        <f>Split!J22</f>
        <v/>
      </c>
      <c r="K36" s="5">
        <f>Split!K22</f>
        <v/>
      </c>
    </row>
    <row r="37" ht="12.5" customHeight="1" s="12">
      <c r="A37" s="5" t="n">
        <v>9</v>
      </c>
      <c r="B37" s="5">
        <f>Split!B23</f>
        <v/>
      </c>
      <c r="C37" s="5">
        <f>Split!C23</f>
        <v/>
      </c>
      <c r="D37" s="5">
        <f>Split!D23</f>
        <v/>
      </c>
      <c r="E37" s="5">
        <f>Split!E23</f>
        <v/>
      </c>
      <c r="F37" s="5">
        <f>Split!F23</f>
        <v/>
      </c>
      <c r="G37" s="5">
        <f>Split!G23</f>
        <v/>
      </c>
      <c r="H37" s="5">
        <f>Split!H23</f>
        <v/>
      </c>
      <c r="I37" s="5">
        <f>Split!I23</f>
        <v/>
      </c>
      <c r="J37" s="5">
        <f>Split!J23</f>
        <v/>
      </c>
      <c r="K37" s="5">
        <f>Split!K23</f>
        <v/>
      </c>
    </row>
    <row r="38" ht="12.5" customHeight="1" s="12">
      <c r="A38" s="5" t="n">
        <v>10</v>
      </c>
      <c r="B38" s="5">
        <f>Split!B24</f>
        <v/>
      </c>
      <c r="C38" s="5">
        <f>Split!C24</f>
        <v/>
      </c>
      <c r="D38" s="5">
        <f>Split!D24</f>
        <v/>
      </c>
      <c r="E38" s="5">
        <f>Split!E24</f>
        <v/>
      </c>
      <c r="F38" s="5">
        <f>Split!F24</f>
        <v/>
      </c>
      <c r="G38" s="5">
        <f>Split!G24</f>
        <v/>
      </c>
      <c r="H38" s="5">
        <f>Split!H24</f>
        <v/>
      </c>
      <c r="I38" s="5">
        <f>Split!I24</f>
        <v/>
      </c>
      <c r="J38" s="5">
        <f>Split!J24</f>
        <v/>
      </c>
      <c r="K38" s="5">
        <f>Split!K24</f>
        <v/>
      </c>
    </row>
    <row r="39" ht="12.5" customHeight="1" s="12">
      <c r="A39" s="5" t="inlineStr">
        <is>
          <t>Ace</t>
        </is>
      </c>
      <c r="B39" s="5">
        <f>Split!B25</f>
        <v/>
      </c>
      <c r="C39" s="5">
        <f>Split!C25</f>
        <v/>
      </c>
      <c r="D39" s="5">
        <f>Split!D25</f>
        <v/>
      </c>
      <c r="E39" s="5">
        <f>Split!E25</f>
        <v/>
      </c>
      <c r="F39" s="5">
        <f>Split!F25</f>
        <v/>
      </c>
      <c r="G39" s="5">
        <f>Split!G25</f>
        <v/>
      </c>
      <c r="H39" s="5">
        <f>Split!H25</f>
        <v/>
      </c>
      <c r="I39" s="5">
        <f>Split!I25</f>
        <v/>
      </c>
      <c r="J39" s="5">
        <f>Split!J25</f>
        <v/>
      </c>
      <c r="K39" s="5">
        <f>Split!K25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4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cols>
    <col width="14.7265625" customWidth="1" style="12" min="1" max="1"/>
  </cols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11">
        <f>Probability!B4*'Expected Return'!B4</f>
        <v/>
      </c>
      <c r="C4" s="11">
        <f>Probability!C4*'Expected Return'!C4</f>
        <v/>
      </c>
      <c r="D4" s="11">
        <f>Probability!D4*'Expected Return'!D4</f>
        <v/>
      </c>
      <c r="E4" s="11">
        <f>Probability!E4*'Expected Return'!E4</f>
        <v/>
      </c>
      <c r="F4" s="11">
        <f>Probability!F4*'Expected Return'!F4</f>
        <v/>
      </c>
      <c r="G4" s="11">
        <f>Probability!G4*'Expected Return'!G4</f>
        <v/>
      </c>
      <c r="H4" s="11">
        <f>Probability!H4*'Expected Return'!H4</f>
        <v/>
      </c>
      <c r="I4" s="11">
        <f>Probability!I4*'Expected Return'!I4</f>
        <v/>
      </c>
      <c r="J4" s="11">
        <f>Probability!J4*'Expected Return'!J4</f>
        <v/>
      </c>
      <c r="K4" s="11">
        <f>Probability!K4*'Expected Return'!K4</f>
        <v/>
      </c>
    </row>
    <row r="5" ht="15.75" customHeight="1" s="12">
      <c r="A5" s="5" t="n">
        <v>6</v>
      </c>
      <c r="B5" s="11">
        <f>Probability!B5*'Expected Return'!B5</f>
        <v/>
      </c>
      <c r="C5" s="11">
        <f>Probability!C5*'Expected Return'!C5</f>
        <v/>
      </c>
      <c r="D5" s="11">
        <f>Probability!D5*'Expected Return'!D5</f>
        <v/>
      </c>
      <c r="E5" s="11">
        <f>Probability!E5*'Expected Return'!E5</f>
        <v/>
      </c>
      <c r="F5" s="11">
        <f>Probability!F5*'Expected Return'!F5</f>
        <v/>
      </c>
      <c r="G5" s="11">
        <f>Probability!G5*'Expected Return'!G5</f>
        <v/>
      </c>
      <c r="H5" s="11">
        <f>Probability!H5*'Expected Return'!H5</f>
        <v/>
      </c>
      <c r="I5" s="11">
        <f>Probability!I5*'Expected Return'!I5</f>
        <v/>
      </c>
      <c r="J5" s="11">
        <f>Probability!J5*'Expected Return'!J5</f>
        <v/>
      </c>
      <c r="K5" s="11">
        <f>Probability!K5*'Expected Return'!K5</f>
        <v/>
      </c>
    </row>
    <row r="6" ht="15.75" customHeight="1" s="12">
      <c r="A6" s="5" t="n">
        <v>7</v>
      </c>
      <c r="B6" s="11">
        <f>Probability!B6*'Expected Return'!B6</f>
        <v/>
      </c>
      <c r="C6" s="11">
        <f>Probability!C6*'Expected Return'!C6</f>
        <v/>
      </c>
      <c r="D6" s="11">
        <f>Probability!D6*'Expected Return'!D6</f>
        <v/>
      </c>
      <c r="E6" s="11">
        <f>Probability!E6*'Expected Return'!E6</f>
        <v/>
      </c>
      <c r="F6" s="11">
        <f>Probability!F6*'Expected Return'!F6</f>
        <v/>
      </c>
      <c r="G6" s="11">
        <f>Probability!G6*'Expected Return'!G6</f>
        <v/>
      </c>
      <c r="H6" s="11">
        <f>Probability!H6*'Expected Return'!H6</f>
        <v/>
      </c>
      <c r="I6" s="11">
        <f>Probability!I6*'Expected Return'!I6</f>
        <v/>
      </c>
      <c r="J6" s="11">
        <f>Probability!J6*'Expected Return'!J6</f>
        <v/>
      </c>
      <c r="K6" s="11">
        <f>Probability!K6*'Expected Return'!K6</f>
        <v/>
      </c>
    </row>
    <row r="7" ht="15.75" customHeight="1" s="12">
      <c r="A7" s="5" t="n">
        <v>8</v>
      </c>
      <c r="B7" s="11">
        <f>Probability!B7*'Expected Return'!B7</f>
        <v/>
      </c>
      <c r="C7" s="11">
        <f>Probability!C7*'Expected Return'!C7</f>
        <v/>
      </c>
      <c r="D7" s="11">
        <f>Probability!D7*'Expected Return'!D7</f>
        <v/>
      </c>
      <c r="E7" s="11">
        <f>Probability!E7*'Expected Return'!E7</f>
        <v/>
      </c>
      <c r="F7" s="11">
        <f>Probability!F7*'Expected Return'!F7</f>
        <v/>
      </c>
      <c r="G7" s="11">
        <f>Probability!G7*'Expected Return'!G7</f>
        <v/>
      </c>
      <c r="H7" s="11">
        <f>Probability!H7*'Expected Return'!H7</f>
        <v/>
      </c>
      <c r="I7" s="11">
        <f>Probability!I7*'Expected Return'!I7</f>
        <v/>
      </c>
      <c r="J7" s="11">
        <f>Probability!J7*'Expected Return'!J7</f>
        <v/>
      </c>
      <c r="K7" s="11">
        <f>Probability!K7*'Expected Return'!K7</f>
        <v/>
      </c>
    </row>
    <row r="8" ht="15.75" customHeight="1" s="12">
      <c r="A8" s="5" t="n">
        <v>9</v>
      </c>
      <c r="B8" s="11">
        <f>Probability!B8*'Expected Return'!B8</f>
        <v/>
      </c>
      <c r="C8" s="11">
        <f>Probability!C8*'Expected Return'!C8</f>
        <v/>
      </c>
      <c r="D8" s="11">
        <f>Probability!D8*'Expected Return'!D8</f>
        <v/>
      </c>
      <c r="E8" s="11">
        <f>Probability!E8*'Expected Return'!E8</f>
        <v/>
      </c>
      <c r="F8" s="11">
        <f>Probability!F8*'Expected Return'!F8</f>
        <v/>
      </c>
      <c r="G8" s="11">
        <f>Probability!G8*'Expected Return'!G8</f>
        <v/>
      </c>
      <c r="H8" s="11">
        <f>Probability!H8*'Expected Return'!H8</f>
        <v/>
      </c>
      <c r="I8" s="11">
        <f>Probability!I8*'Expected Return'!I8</f>
        <v/>
      </c>
      <c r="J8" s="11">
        <f>Probability!J8*'Expected Return'!J8</f>
        <v/>
      </c>
      <c r="K8" s="11">
        <f>Probability!K8*'Expected Return'!K8</f>
        <v/>
      </c>
    </row>
    <row r="9" ht="15.75" customHeight="1" s="12">
      <c r="A9" s="5" t="n">
        <v>10</v>
      </c>
      <c r="B9" s="11">
        <f>Probability!B9*'Expected Return'!B9</f>
        <v/>
      </c>
      <c r="C9" s="11">
        <f>Probability!C9*'Expected Return'!C9</f>
        <v/>
      </c>
      <c r="D9" s="11">
        <f>Probability!D9*'Expected Return'!D9</f>
        <v/>
      </c>
      <c r="E9" s="11">
        <f>Probability!E9*'Expected Return'!E9</f>
        <v/>
      </c>
      <c r="F9" s="11">
        <f>Probability!F9*'Expected Return'!F9</f>
        <v/>
      </c>
      <c r="G9" s="11">
        <f>Probability!G9*'Expected Return'!G9</f>
        <v/>
      </c>
      <c r="H9" s="11">
        <f>Probability!H9*'Expected Return'!H9</f>
        <v/>
      </c>
      <c r="I9" s="11">
        <f>Probability!I9*'Expected Return'!I9</f>
        <v/>
      </c>
      <c r="J9" s="11">
        <f>Probability!J9*'Expected Return'!J9</f>
        <v/>
      </c>
      <c r="K9" s="11">
        <f>Probability!K9*'Expected Return'!K9</f>
        <v/>
      </c>
    </row>
    <row r="10" ht="15.75" customHeight="1" s="12">
      <c r="A10" s="5" t="n">
        <v>11</v>
      </c>
      <c r="B10" s="11">
        <f>Probability!B10*'Expected Return'!B10</f>
        <v/>
      </c>
      <c r="C10" s="11">
        <f>Probability!C10*'Expected Return'!C10</f>
        <v/>
      </c>
      <c r="D10" s="11">
        <f>Probability!D10*'Expected Return'!D10</f>
        <v/>
      </c>
      <c r="E10" s="11">
        <f>Probability!E10*'Expected Return'!E10</f>
        <v/>
      </c>
      <c r="F10" s="11">
        <f>Probability!F10*'Expected Return'!F10</f>
        <v/>
      </c>
      <c r="G10" s="11">
        <f>Probability!G10*'Expected Return'!G10</f>
        <v/>
      </c>
      <c r="H10" s="11">
        <f>Probability!H10*'Expected Return'!H10</f>
        <v/>
      </c>
      <c r="I10" s="11">
        <f>Probability!I10*'Expected Return'!I10</f>
        <v/>
      </c>
      <c r="J10" s="11">
        <f>Probability!J10*'Expected Return'!J10</f>
        <v/>
      </c>
      <c r="K10" s="11">
        <f>Probability!K10*'Expected Return'!K10</f>
        <v/>
      </c>
    </row>
    <row r="11" ht="15.75" customHeight="1" s="12">
      <c r="A11" s="5" t="n">
        <v>12</v>
      </c>
      <c r="B11" s="11">
        <f>Probability!B11*'Expected Return'!B11</f>
        <v/>
      </c>
      <c r="C11" s="11">
        <f>Probability!C11*'Expected Return'!C11</f>
        <v/>
      </c>
      <c r="D11" s="11">
        <f>Probability!D11*'Expected Return'!D11</f>
        <v/>
      </c>
      <c r="E11" s="11">
        <f>Probability!E11*'Expected Return'!E11</f>
        <v/>
      </c>
      <c r="F11" s="11">
        <f>Probability!F11*'Expected Return'!F11</f>
        <v/>
      </c>
      <c r="G11" s="11">
        <f>Probability!G11*'Expected Return'!G11</f>
        <v/>
      </c>
      <c r="H11" s="11">
        <f>Probability!H11*'Expected Return'!H11</f>
        <v/>
      </c>
      <c r="I11" s="11">
        <f>Probability!I11*'Expected Return'!I11</f>
        <v/>
      </c>
      <c r="J11" s="11">
        <f>Probability!J11*'Expected Return'!J11</f>
        <v/>
      </c>
      <c r="K11" s="11">
        <f>Probability!K11*'Expected Return'!K11</f>
        <v/>
      </c>
    </row>
    <row r="12" ht="15.75" customHeight="1" s="12">
      <c r="A12" s="5" t="n">
        <v>13</v>
      </c>
      <c r="B12" s="11">
        <f>Probability!B12*'Expected Return'!B12</f>
        <v/>
      </c>
      <c r="C12" s="11">
        <f>Probability!C12*'Expected Return'!C12</f>
        <v/>
      </c>
      <c r="D12" s="11">
        <f>Probability!D12*'Expected Return'!D12</f>
        <v/>
      </c>
      <c r="E12" s="11">
        <f>Probability!E12*'Expected Return'!E12</f>
        <v/>
      </c>
      <c r="F12" s="11">
        <f>Probability!F12*'Expected Return'!F12</f>
        <v/>
      </c>
      <c r="G12" s="11">
        <f>Probability!G12*'Expected Return'!G12</f>
        <v/>
      </c>
      <c r="H12" s="11">
        <f>Probability!H12*'Expected Return'!H12</f>
        <v/>
      </c>
      <c r="I12" s="11">
        <f>Probability!I12*'Expected Return'!I12</f>
        <v/>
      </c>
      <c r="J12" s="11">
        <f>Probability!J12*'Expected Return'!J12</f>
        <v/>
      </c>
      <c r="K12" s="11">
        <f>Probability!K12*'Expected Return'!K12</f>
        <v/>
      </c>
    </row>
    <row r="13" ht="15.75" customHeight="1" s="12">
      <c r="A13" s="5" t="n">
        <v>14</v>
      </c>
      <c r="B13" s="11">
        <f>Probability!B13*'Expected Return'!B13</f>
        <v/>
      </c>
      <c r="C13" s="11">
        <f>Probability!C13*'Expected Return'!C13</f>
        <v/>
      </c>
      <c r="D13" s="11">
        <f>Probability!D13*'Expected Return'!D13</f>
        <v/>
      </c>
      <c r="E13" s="11">
        <f>Probability!E13*'Expected Return'!E13</f>
        <v/>
      </c>
      <c r="F13" s="11">
        <f>Probability!F13*'Expected Return'!F13</f>
        <v/>
      </c>
      <c r="G13" s="11">
        <f>Probability!G13*'Expected Return'!G13</f>
        <v/>
      </c>
      <c r="H13" s="11">
        <f>Probability!H13*'Expected Return'!H13</f>
        <v/>
      </c>
      <c r="I13" s="11">
        <f>Probability!I13*'Expected Return'!I13</f>
        <v/>
      </c>
      <c r="J13" s="11">
        <f>Probability!J13*'Expected Return'!J13</f>
        <v/>
      </c>
      <c r="K13" s="11">
        <f>Probability!K13*'Expected Return'!K13</f>
        <v/>
      </c>
    </row>
    <row r="14" ht="15.75" customHeight="1" s="12">
      <c r="A14" s="5" t="n">
        <v>15</v>
      </c>
      <c r="B14" s="11">
        <f>Probability!B14*'Expected Return'!B14</f>
        <v/>
      </c>
      <c r="C14" s="11">
        <f>Probability!C14*'Expected Return'!C14</f>
        <v/>
      </c>
      <c r="D14" s="11">
        <f>Probability!D14*'Expected Return'!D14</f>
        <v/>
      </c>
      <c r="E14" s="11">
        <f>Probability!E14*'Expected Return'!E14</f>
        <v/>
      </c>
      <c r="F14" s="11">
        <f>Probability!F14*'Expected Return'!F14</f>
        <v/>
      </c>
      <c r="G14" s="11">
        <f>Probability!G14*'Expected Return'!G14</f>
        <v/>
      </c>
      <c r="H14" s="11">
        <f>Probability!H14*'Expected Return'!H14</f>
        <v/>
      </c>
      <c r="I14" s="11">
        <f>Probability!I14*'Expected Return'!I14</f>
        <v/>
      </c>
      <c r="J14" s="11">
        <f>Probability!J14*'Expected Return'!J14</f>
        <v/>
      </c>
      <c r="K14" s="11">
        <f>Probability!K14*'Expected Return'!K14</f>
        <v/>
      </c>
    </row>
    <row r="15" ht="15.75" customHeight="1" s="12">
      <c r="A15" s="5" t="n">
        <v>16</v>
      </c>
      <c r="B15" s="11">
        <f>Probability!B15*'Expected Return'!B15</f>
        <v/>
      </c>
      <c r="C15" s="11">
        <f>Probability!C15*'Expected Return'!C15</f>
        <v/>
      </c>
      <c r="D15" s="11">
        <f>Probability!D15*'Expected Return'!D15</f>
        <v/>
      </c>
      <c r="E15" s="11">
        <f>Probability!E15*'Expected Return'!E15</f>
        <v/>
      </c>
      <c r="F15" s="11">
        <f>Probability!F15*'Expected Return'!F15</f>
        <v/>
      </c>
      <c r="G15" s="11">
        <f>Probability!G15*'Expected Return'!G15</f>
        <v/>
      </c>
      <c r="H15" s="11">
        <f>Probability!H15*'Expected Return'!H15</f>
        <v/>
      </c>
      <c r="I15" s="11">
        <f>Probability!I15*'Expected Return'!I15</f>
        <v/>
      </c>
      <c r="J15" s="11">
        <f>Probability!J15*'Expected Return'!J15</f>
        <v/>
      </c>
      <c r="K15" s="11">
        <f>Probability!K15*'Expected Return'!K15</f>
        <v/>
      </c>
    </row>
    <row r="16" ht="15.75" customHeight="1" s="12">
      <c r="A16" s="5" t="n">
        <v>17</v>
      </c>
      <c r="B16" s="11">
        <f>Probability!B16*'Expected Return'!B16</f>
        <v/>
      </c>
      <c r="C16" s="11">
        <f>Probability!C16*'Expected Return'!C16</f>
        <v/>
      </c>
      <c r="D16" s="11">
        <f>Probability!D16*'Expected Return'!D16</f>
        <v/>
      </c>
      <c r="E16" s="11">
        <f>Probability!E16*'Expected Return'!E16</f>
        <v/>
      </c>
      <c r="F16" s="11">
        <f>Probability!F16*'Expected Return'!F16</f>
        <v/>
      </c>
      <c r="G16" s="11">
        <f>Probability!G16*'Expected Return'!G16</f>
        <v/>
      </c>
      <c r="H16" s="11">
        <f>Probability!H16*'Expected Return'!H16</f>
        <v/>
      </c>
      <c r="I16" s="11">
        <f>Probability!I16*'Expected Return'!I16</f>
        <v/>
      </c>
      <c r="J16" s="11">
        <f>Probability!J16*'Expected Return'!J16</f>
        <v/>
      </c>
      <c r="K16" s="11">
        <f>Probability!K16*'Expected Return'!K16</f>
        <v/>
      </c>
    </row>
    <row r="17" ht="15.75" customHeight="1" s="12">
      <c r="A17" s="5" t="n">
        <v>18</v>
      </c>
      <c r="B17" s="11">
        <f>Probability!B17*'Expected Return'!B17</f>
        <v/>
      </c>
      <c r="C17" s="11">
        <f>Probability!C17*'Expected Return'!C17</f>
        <v/>
      </c>
      <c r="D17" s="11">
        <f>Probability!D17*'Expected Return'!D17</f>
        <v/>
      </c>
      <c r="E17" s="11">
        <f>Probability!E17*'Expected Return'!E17</f>
        <v/>
      </c>
      <c r="F17" s="11">
        <f>Probability!F17*'Expected Return'!F17</f>
        <v/>
      </c>
      <c r="G17" s="11">
        <f>Probability!G17*'Expected Return'!G17</f>
        <v/>
      </c>
      <c r="H17" s="11">
        <f>Probability!H17*'Expected Return'!H17</f>
        <v/>
      </c>
      <c r="I17" s="11">
        <f>Probability!I17*'Expected Return'!I17</f>
        <v/>
      </c>
      <c r="J17" s="11">
        <f>Probability!J17*'Expected Return'!J17</f>
        <v/>
      </c>
      <c r="K17" s="11">
        <f>Probability!K17*'Expected Return'!K17</f>
        <v/>
      </c>
    </row>
    <row r="18" ht="15.75" customHeight="1" s="12">
      <c r="A18" s="5" t="n">
        <v>19</v>
      </c>
      <c r="B18" s="11">
        <f>Probability!B18*'Expected Return'!B18</f>
        <v/>
      </c>
      <c r="C18" s="11">
        <f>Probability!C18*'Expected Return'!C18</f>
        <v/>
      </c>
      <c r="D18" s="11">
        <f>Probability!D18*'Expected Return'!D18</f>
        <v/>
      </c>
      <c r="E18" s="11">
        <f>Probability!E18*'Expected Return'!E18</f>
        <v/>
      </c>
      <c r="F18" s="11">
        <f>Probability!F18*'Expected Return'!F18</f>
        <v/>
      </c>
      <c r="G18" s="11">
        <f>Probability!G18*'Expected Return'!G18</f>
        <v/>
      </c>
      <c r="H18" s="11">
        <f>Probability!H18*'Expected Return'!H18</f>
        <v/>
      </c>
      <c r="I18" s="11">
        <f>Probability!I18*'Expected Return'!I18</f>
        <v/>
      </c>
      <c r="J18" s="11">
        <f>Probability!J18*'Expected Return'!J18</f>
        <v/>
      </c>
      <c r="K18" s="11">
        <f>Probability!K18*'Expected Return'!K18</f>
        <v/>
      </c>
    </row>
    <row r="19" ht="15.75" customHeight="1" s="12">
      <c r="A19" s="5" t="inlineStr">
        <is>
          <t>Soft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5.75" customHeight="1" s="12">
      <c r="A20" s="5" t="n">
        <v>13</v>
      </c>
      <c r="B20" s="11">
        <f>Probability!B20*'Expected Return'!B20</f>
        <v/>
      </c>
      <c r="C20" s="11">
        <f>Probability!C20*'Expected Return'!C20</f>
        <v/>
      </c>
      <c r="D20" s="11">
        <f>Probability!D20*'Expected Return'!D20</f>
        <v/>
      </c>
      <c r="E20" s="11">
        <f>Probability!E20*'Expected Return'!E20</f>
        <v/>
      </c>
      <c r="F20" s="11">
        <f>Probability!F20*'Expected Return'!F20</f>
        <v/>
      </c>
      <c r="G20" s="11">
        <f>Probability!G20*'Expected Return'!G20</f>
        <v/>
      </c>
      <c r="H20" s="11">
        <f>Probability!H20*'Expected Return'!H20</f>
        <v/>
      </c>
      <c r="I20" s="11">
        <f>Probability!I20*'Expected Return'!I20</f>
        <v/>
      </c>
      <c r="J20" s="11">
        <f>Probability!J20*'Expected Return'!J20</f>
        <v/>
      </c>
      <c r="K20" s="11">
        <f>Probability!K20*'Expected Return'!K20</f>
        <v/>
      </c>
    </row>
    <row r="21" ht="15.75" customHeight="1" s="12">
      <c r="A21" s="5" t="n">
        <v>14</v>
      </c>
      <c r="B21" s="11">
        <f>Probability!B21*'Expected Return'!B21</f>
        <v/>
      </c>
      <c r="C21" s="11">
        <f>Probability!C21*'Expected Return'!C21</f>
        <v/>
      </c>
      <c r="D21" s="11">
        <f>Probability!D21*'Expected Return'!D21</f>
        <v/>
      </c>
      <c r="E21" s="11">
        <f>Probability!E21*'Expected Return'!E21</f>
        <v/>
      </c>
      <c r="F21" s="11">
        <f>Probability!F21*'Expected Return'!F21</f>
        <v/>
      </c>
      <c r="G21" s="11">
        <f>Probability!G21*'Expected Return'!G21</f>
        <v/>
      </c>
      <c r="H21" s="11">
        <f>Probability!H21*'Expected Return'!H21</f>
        <v/>
      </c>
      <c r="I21" s="11">
        <f>Probability!I21*'Expected Return'!I21</f>
        <v/>
      </c>
      <c r="J21" s="11">
        <f>Probability!J21*'Expected Return'!J21</f>
        <v/>
      </c>
      <c r="K21" s="11">
        <f>Probability!K21*'Expected Return'!K21</f>
        <v/>
      </c>
    </row>
    <row r="22" ht="15.75" customHeight="1" s="12">
      <c r="A22" s="5" t="n">
        <v>15</v>
      </c>
      <c r="B22" s="11">
        <f>Probability!B22*'Expected Return'!B22</f>
        <v/>
      </c>
      <c r="C22" s="11">
        <f>Probability!C22*'Expected Return'!C22</f>
        <v/>
      </c>
      <c r="D22" s="11">
        <f>Probability!D22*'Expected Return'!D22</f>
        <v/>
      </c>
      <c r="E22" s="11">
        <f>Probability!E22*'Expected Return'!E22</f>
        <v/>
      </c>
      <c r="F22" s="11">
        <f>Probability!F22*'Expected Return'!F22</f>
        <v/>
      </c>
      <c r="G22" s="11">
        <f>Probability!G22*'Expected Return'!G22</f>
        <v/>
      </c>
      <c r="H22" s="11">
        <f>Probability!H22*'Expected Return'!H22</f>
        <v/>
      </c>
      <c r="I22" s="11">
        <f>Probability!I22*'Expected Return'!I22</f>
        <v/>
      </c>
      <c r="J22" s="11">
        <f>Probability!J22*'Expected Return'!J22</f>
        <v/>
      </c>
      <c r="K22" s="11">
        <f>Probability!K22*'Expected Return'!K22</f>
        <v/>
      </c>
    </row>
    <row r="23" ht="12.5" customHeight="1" s="12">
      <c r="A23" s="5" t="n">
        <v>16</v>
      </c>
      <c r="B23" s="11">
        <f>Probability!B23*'Expected Return'!B23</f>
        <v/>
      </c>
      <c r="C23" s="11">
        <f>Probability!C23*'Expected Return'!C23</f>
        <v/>
      </c>
      <c r="D23" s="11">
        <f>Probability!D23*'Expected Return'!D23</f>
        <v/>
      </c>
      <c r="E23" s="11">
        <f>Probability!E23*'Expected Return'!E23</f>
        <v/>
      </c>
      <c r="F23" s="11">
        <f>Probability!F23*'Expected Return'!F23</f>
        <v/>
      </c>
      <c r="G23" s="11">
        <f>Probability!G23*'Expected Return'!G23</f>
        <v/>
      </c>
      <c r="H23" s="11">
        <f>Probability!H23*'Expected Return'!H23</f>
        <v/>
      </c>
      <c r="I23" s="11">
        <f>Probability!I23*'Expected Return'!I23</f>
        <v/>
      </c>
      <c r="J23" s="11">
        <f>Probability!J23*'Expected Return'!J23</f>
        <v/>
      </c>
      <c r="K23" s="11">
        <f>Probability!K23*'Expected Return'!K23</f>
        <v/>
      </c>
    </row>
    <row r="24" ht="12.5" customHeight="1" s="12">
      <c r="A24" s="5" t="n">
        <v>17</v>
      </c>
      <c r="B24" s="11">
        <f>Probability!B24*'Expected Return'!B24</f>
        <v/>
      </c>
      <c r="C24" s="11">
        <f>Probability!C24*'Expected Return'!C24</f>
        <v/>
      </c>
      <c r="D24" s="11">
        <f>Probability!D24*'Expected Return'!D24</f>
        <v/>
      </c>
      <c r="E24" s="11">
        <f>Probability!E24*'Expected Return'!E24</f>
        <v/>
      </c>
      <c r="F24" s="11">
        <f>Probability!F24*'Expected Return'!F24</f>
        <v/>
      </c>
      <c r="G24" s="11">
        <f>Probability!G24*'Expected Return'!G24</f>
        <v/>
      </c>
      <c r="H24" s="11">
        <f>Probability!H24*'Expected Return'!H24</f>
        <v/>
      </c>
      <c r="I24" s="11">
        <f>Probability!I24*'Expected Return'!I24</f>
        <v/>
      </c>
      <c r="J24" s="11">
        <f>Probability!J24*'Expected Return'!J24</f>
        <v/>
      </c>
      <c r="K24" s="11">
        <f>Probability!K24*'Expected Return'!K24</f>
        <v/>
      </c>
    </row>
    <row r="25" ht="12.5" customHeight="1" s="12">
      <c r="A25" s="5" t="n">
        <v>18</v>
      </c>
      <c r="B25" s="11">
        <f>Probability!B25*'Expected Return'!B25</f>
        <v/>
      </c>
      <c r="C25" s="11">
        <f>Probability!C25*'Expected Return'!C25</f>
        <v/>
      </c>
      <c r="D25" s="11">
        <f>Probability!D25*'Expected Return'!D25</f>
        <v/>
      </c>
      <c r="E25" s="11">
        <f>Probability!E25*'Expected Return'!E25</f>
        <v/>
      </c>
      <c r="F25" s="11">
        <f>Probability!F25*'Expected Return'!F25</f>
        <v/>
      </c>
      <c r="G25" s="11">
        <f>Probability!G25*'Expected Return'!G25</f>
        <v/>
      </c>
      <c r="H25" s="11">
        <f>Probability!H25*'Expected Return'!H25</f>
        <v/>
      </c>
      <c r="I25" s="11">
        <f>Probability!I25*'Expected Return'!I25</f>
        <v/>
      </c>
      <c r="J25" s="11">
        <f>Probability!J25*'Expected Return'!J25</f>
        <v/>
      </c>
      <c r="K25" s="11">
        <f>Probability!K25*'Expected Return'!K25</f>
        <v/>
      </c>
    </row>
    <row r="26" ht="12.5" customHeight="1" s="12">
      <c r="A26" s="5" t="n">
        <v>19</v>
      </c>
      <c r="B26" s="11">
        <f>Probability!B26*'Expected Return'!B26</f>
        <v/>
      </c>
      <c r="C26" s="11">
        <f>Probability!C26*'Expected Return'!C26</f>
        <v/>
      </c>
      <c r="D26" s="11">
        <f>Probability!D26*'Expected Return'!D26</f>
        <v/>
      </c>
      <c r="E26" s="11">
        <f>Probability!E26*'Expected Return'!E26</f>
        <v/>
      </c>
      <c r="F26" s="11">
        <f>Probability!F26*'Expected Return'!F26</f>
        <v/>
      </c>
      <c r="G26" s="11">
        <f>Probability!G26*'Expected Return'!G26</f>
        <v/>
      </c>
      <c r="H26" s="11">
        <f>Probability!H26*'Expected Return'!H26</f>
        <v/>
      </c>
      <c r="I26" s="11">
        <f>Probability!I26*'Expected Return'!I26</f>
        <v/>
      </c>
      <c r="J26" s="11">
        <f>Probability!J26*'Expected Return'!J26</f>
        <v/>
      </c>
      <c r="K26" s="11">
        <f>Probability!K26*'Expected Return'!K26</f>
        <v/>
      </c>
    </row>
    <row r="27" ht="12.5" customHeight="1" s="12">
      <c r="A27" s="5" t="n">
        <v>20</v>
      </c>
      <c r="B27" s="11">
        <f>Probability!B27*'Expected Return'!B27</f>
        <v/>
      </c>
      <c r="C27" s="11">
        <f>Probability!C27*'Expected Return'!C27</f>
        <v/>
      </c>
      <c r="D27" s="11">
        <f>Probability!D27*'Expected Return'!D27</f>
        <v/>
      </c>
      <c r="E27" s="11">
        <f>Probability!E27*'Expected Return'!E27</f>
        <v/>
      </c>
      <c r="F27" s="11">
        <f>Probability!F27*'Expected Return'!F27</f>
        <v/>
      </c>
      <c r="G27" s="11">
        <f>Probability!G27*'Expected Return'!G27</f>
        <v/>
      </c>
      <c r="H27" s="11">
        <f>Probability!H27*'Expected Return'!H27</f>
        <v/>
      </c>
      <c r="I27" s="11">
        <f>Probability!I27*'Expected Return'!I27</f>
        <v/>
      </c>
      <c r="J27" s="11">
        <f>Probability!J27*'Expected Return'!J27</f>
        <v/>
      </c>
      <c r="K27" s="11">
        <f>Probability!K27*'Expected Return'!K27</f>
        <v/>
      </c>
    </row>
    <row r="28" ht="12.5" customHeight="1" s="12">
      <c r="A28" s="5" t="n">
        <v>21</v>
      </c>
      <c r="B28" s="11">
        <f>Probability!B28*'Expected Return'!B28</f>
        <v/>
      </c>
      <c r="C28" s="11">
        <f>Probability!C28*'Expected Return'!C28</f>
        <v/>
      </c>
      <c r="D28" s="11">
        <f>Probability!D28*'Expected Return'!D28</f>
        <v/>
      </c>
      <c r="E28" s="11">
        <f>Probability!E28*'Expected Return'!E28</f>
        <v/>
      </c>
      <c r="F28" s="11">
        <f>Probability!F28*'Expected Return'!F28</f>
        <v/>
      </c>
      <c r="G28" s="11">
        <f>Probability!G28*'Expected Return'!G28</f>
        <v/>
      </c>
      <c r="H28" s="11">
        <f>Probability!H28*'Expected Return'!H28</f>
        <v/>
      </c>
      <c r="I28" s="11">
        <f>Probability!I28*'Expected Return'!I28</f>
        <v/>
      </c>
      <c r="J28" s="11">
        <f>Probability!J28*'Expected Return'!J28</f>
        <v/>
      </c>
      <c r="K28" s="11">
        <f>Probability!K28*'Expected Return'!K28</f>
        <v/>
      </c>
    </row>
    <row r="29" ht="12.5" customHeight="1" s="12">
      <c r="A29" s="5" t="inlineStr">
        <is>
          <t>Pairs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12.5" customHeight="1" s="12">
      <c r="A30" s="5" t="n">
        <v>2</v>
      </c>
      <c r="B30" s="11">
        <f>Probability!B30*'Expected Return'!B30</f>
        <v/>
      </c>
      <c r="C30" s="11">
        <f>Probability!C30*'Expected Return'!C30</f>
        <v/>
      </c>
      <c r="D30" s="11">
        <f>Probability!D30*'Expected Return'!D30</f>
        <v/>
      </c>
      <c r="E30" s="11">
        <f>Probability!E30*'Expected Return'!E30</f>
        <v/>
      </c>
      <c r="F30" s="11">
        <f>Probability!F30*'Expected Return'!F30</f>
        <v/>
      </c>
      <c r="G30" s="11">
        <f>Probability!G30*'Expected Return'!G30</f>
        <v/>
      </c>
      <c r="H30" s="11">
        <f>Probability!H30*'Expected Return'!H30</f>
        <v/>
      </c>
      <c r="I30" s="11">
        <f>Probability!I30*'Expected Return'!I30</f>
        <v/>
      </c>
      <c r="J30" s="11">
        <f>Probability!J30*'Expected Return'!J30</f>
        <v/>
      </c>
      <c r="K30" s="11">
        <f>Probability!K30*'Expected Return'!K30</f>
        <v/>
      </c>
    </row>
    <row r="31" ht="12.5" customHeight="1" s="12">
      <c r="A31" s="5" t="n">
        <v>3</v>
      </c>
      <c r="B31" s="11">
        <f>Probability!B31*'Expected Return'!B31</f>
        <v/>
      </c>
      <c r="C31" s="11">
        <f>Probability!C31*'Expected Return'!C31</f>
        <v/>
      </c>
      <c r="D31" s="11">
        <f>Probability!D31*'Expected Return'!D31</f>
        <v/>
      </c>
      <c r="E31" s="11">
        <f>Probability!E31*'Expected Return'!E31</f>
        <v/>
      </c>
      <c r="F31" s="11">
        <f>Probability!F31*'Expected Return'!F31</f>
        <v/>
      </c>
      <c r="G31" s="11">
        <f>Probability!G31*'Expected Return'!G31</f>
        <v/>
      </c>
      <c r="H31" s="11">
        <f>Probability!H31*'Expected Return'!H31</f>
        <v/>
      </c>
      <c r="I31" s="11">
        <f>Probability!I31*'Expected Return'!I31</f>
        <v/>
      </c>
      <c r="J31" s="11">
        <f>Probability!J31*'Expected Return'!J31</f>
        <v/>
      </c>
      <c r="K31" s="11">
        <f>Probability!K31*'Expected Return'!K31</f>
        <v/>
      </c>
    </row>
    <row r="32" ht="12.5" customHeight="1" s="12">
      <c r="A32" s="5" t="n">
        <v>4</v>
      </c>
      <c r="B32" s="11">
        <f>Probability!B32*'Expected Return'!B32</f>
        <v/>
      </c>
      <c r="C32" s="11">
        <f>Probability!C32*'Expected Return'!C32</f>
        <v/>
      </c>
      <c r="D32" s="11">
        <f>Probability!D32*'Expected Return'!D32</f>
        <v/>
      </c>
      <c r="E32" s="11">
        <f>Probability!E32*'Expected Return'!E32</f>
        <v/>
      </c>
      <c r="F32" s="11">
        <f>Probability!F32*'Expected Return'!F32</f>
        <v/>
      </c>
      <c r="G32" s="11">
        <f>Probability!G32*'Expected Return'!G32</f>
        <v/>
      </c>
      <c r="H32" s="11">
        <f>Probability!H32*'Expected Return'!H32</f>
        <v/>
      </c>
      <c r="I32" s="11">
        <f>Probability!I32*'Expected Return'!I32</f>
        <v/>
      </c>
      <c r="J32" s="11">
        <f>Probability!J32*'Expected Return'!J32</f>
        <v/>
      </c>
      <c r="K32" s="11">
        <f>Probability!K32*'Expected Return'!K32</f>
        <v/>
      </c>
    </row>
    <row r="33" ht="12.5" customHeight="1" s="12">
      <c r="A33" s="5" t="n">
        <v>5</v>
      </c>
      <c r="B33" s="11">
        <f>Probability!B33*'Expected Return'!B33</f>
        <v/>
      </c>
      <c r="C33" s="11">
        <f>Probability!C33*'Expected Return'!C33</f>
        <v/>
      </c>
      <c r="D33" s="11">
        <f>Probability!D33*'Expected Return'!D33</f>
        <v/>
      </c>
      <c r="E33" s="11">
        <f>Probability!E33*'Expected Return'!E33</f>
        <v/>
      </c>
      <c r="F33" s="11">
        <f>Probability!F33*'Expected Return'!F33</f>
        <v/>
      </c>
      <c r="G33" s="11">
        <f>Probability!G33*'Expected Return'!G33</f>
        <v/>
      </c>
      <c r="H33" s="11">
        <f>Probability!H33*'Expected Return'!H33</f>
        <v/>
      </c>
      <c r="I33" s="11">
        <f>Probability!I33*'Expected Return'!I33</f>
        <v/>
      </c>
      <c r="J33" s="11">
        <f>Probability!J33*'Expected Return'!J33</f>
        <v/>
      </c>
      <c r="K33" s="11">
        <f>Probability!K33*'Expected Return'!K33</f>
        <v/>
      </c>
    </row>
    <row r="34" ht="12.5" customHeight="1" s="12">
      <c r="A34" s="5" t="n">
        <v>6</v>
      </c>
      <c r="B34" s="11">
        <f>Probability!B34*'Expected Return'!B34</f>
        <v/>
      </c>
      <c r="C34" s="11">
        <f>Probability!C34*'Expected Return'!C34</f>
        <v/>
      </c>
      <c r="D34" s="11">
        <f>Probability!D34*'Expected Return'!D34</f>
        <v/>
      </c>
      <c r="E34" s="11">
        <f>Probability!E34*'Expected Return'!E34</f>
        <v/>
      </c>
      <c r="F34" s="11">
        <f>Probability!F34*'Expected Return'!F34</f>
        <v/>
      </c>
      <c r="G34" s="11">
        <f>Probability!G34*'Expected Return'!G34</f>
        <v/>
      </c>
      <c r="H34" s="11">
        <f>Probability!H34*'Expected Return'!H34</f>
        <v/>
      </c>
      <c r="I34" s="11">
        <f>Probability!I34*'Expected Return'!I34</f>
        <v/>
      </c>
      <c r="J34" s="11">
        <f>Probability!J34*'Expected Return'!J34</f>
        <v/>
      </c>
      <c r="K34" s="11">
        <f>Probability!K34*'Expected Return'!K34</f>
        <v/>
      </c>
    </row>
    <row r="35" ht="12.5" customHeight="1" s="12">
      <c r="A35" s="5" t="n">
        <v>7</v>
      </c>
      <c r="B35" s="11">
        <f>Probability!B35*'Expected Return'!B35</f>
        <v/>
      </c>
      <c r="C35" s="11">
        <f>Probability!C35*'Expected Return'!C35</f>
        <v/>
      </c>
      <c r="D35" s="11">
        <f>Probability!D35*'Expected Return'!D35</f>
        <v/>
      </c>
      <c r="E35" s="11">
        <f>Probability!E35*'Expected Return'!E35</f>
        <v/>
      </c>
      <c r="F35" s="11">
        <f>Probability!F35*'Expected Return'!F35</f>
        <v/>
      </c>
      <c r="G35" s="11">
        <f>Probability!G35*'Expected Return'!G35</f>
        <v/>
      </c>
      <c r="H35" s="11">
        <f>Probability!H35*'Expected Return'!H35</f>
        <v/>
      </c>
      <c r="I35" s="11">
        <f>Probability!I35*'Expected Return'!I35</f>
        <v/>
      </c>
      <c r="J35" s="11">
        <f>Probability!J35*'Expected Return'!J35</f>
        <v/>
      </c>
      <c r="K35" s="11">
        <f>Probability!K35*'Expected Return'!K35</f>
        <v/>
      </c>
    </row>
    <row r="36" ht="12.5" customHeight="1" s="12">
      <c r="A36" s="5" t="n">
        <v>8</v>
      </c>
      <c r="B36" s="11">
        <f>Probability!B36*'Expected Return'!B36</f>
        <v/>
      </c>
      <c r="C36" s="11">
        <f>Probability!C36*'Expected Return'!C36</f>
        <v/>
      </c>
      <c r="D36" s="11">
        <f>Probability!D36*'Expected Return'!D36</f>
        <v/>
      </c>
      <c r="E36" s="11">
        <f>Probability!E36*'Expected Return'!E36</f>
        <v/>
      </c>
      <c r="F36" s="11">
        <f>Probability!F36*'Expected Return'!F36</f>
        <v/>
      </c>
      <c r="G36" s="11">
        <f>Probability!G36*'Expected Return'!G36</f>
        <v/>
      </c>
      <c r="H36" s="11">
        <f>Probability!H36*'Expected Return'!H36</f>
        <v/>
      </c>
      <c r="I36" s="11">
        <f>Probability!I36*'Expected Return'!I36</f>
        <v/>
      </c>
      <c r="J36" s="11">
        <f>Probability!J36*'Expected Return'!J36</f>
        <v/>
      </c>
      <c r="K36" s="11">
        <f>Probability!K36*'Expected Return'!K36</f>
        <v/>
      </c>
    </row>
    <row r="37" ht="12.5" customHeight="1" s="12">
      <c r="A37" s="5" t="n">
        <v>9</v>
      </c>
      <c r="B37" s="11">
        <f>Probability!B37*'Expected Return'!B37</f>
        <v/>
      </c>
      <c r="C37" s="11">
        <f>Probability!C37*'Expected Return'!C37</f>
        <v/>
      </c>
      <c r="D37" s="11">
        <f>Probability!D37*'Expected Return'!D37</f>
        <v/>
      </c>
      <c r="E37" s="11">
        <f>Probability!E37*'Expected Return'!E37</f>
        <v/>
      </c>
      <c r="F37" s="11">
        <f>Probability!F37*'Expected Return'!F37</f>
        <v/>
      </c>
      <c r="G37" s="11">
        <f>Probability!G37*'Expected Return'!G37</f>
        <v/>
      </c>
      <c r="H37" s="11">
        <f>Probability!H37*'Expected Return'!H37</f>
        <v/>
      </c>
      <c r="I37" s="11">
        <f>Probability!I37*'Expected Return'!I37</f>
        <v/>
      </c>
      <c r="J37" s="11">
        <f>Probability!J37*'Expected Return'!J37</f>
        <v/>
      </c>
      <c r="K37" s="11">
        <f>Probability!K37*'Expected Return'!K37</f>
        <v/>
      </c>
    </row>
    <row r="38" ht="12.5" customHeight="1" s="12">
      <c r="A38" s="5" t="n">
        <v>10</v>
      </c>
      <c r="B38" s="11">
        <f>Probability!B38*'Expected Return'!B38</f>
        <v/>
      </c>
      <c r="C38" s="11">
        <f>Probability!C38*'Expected Return'!C38</f>
        <v/>
      </c>
      <c r="D38" s="11">
        <f>Probability!D38*'Expected Return'!D38</f>
        <v/>
      </c>
      <c r="E38" s="11">
        <f>Probability!E38*'Expected Return'!E38</f>
        <v/>
      </c>
      <c r="F38" s="11">
        <f>Probability!F38*'Expected Return'!F38</f>
        <v/>
      </c>
      <c r="G38" s="11">
        <f>Probability!G38*'Expected Return'!G38</f>
        <v/>
      </c>
      <c r="H38" s="11">
        <f>Probability!H38*'Expected Return'!H38</f>
        <v/>
      </c>
      <c r="I38" s="11">
        <f>Probability!I38*'Expected Return'!I38</f>
        <v/>
      </c>
      <c r="J38" s="11">
        <f>Probability!J38*'Expected Return'!J38</f>
        <v/>
      </c>
      <c r="K38" s="11">
        <f>Probability!K38*'Expected Return'!K38</f>
        <v/>
      </c>
    </row>
    <row r="39" ht="12.5" customHeight="1" s="12">
      <c r="A39" s="5" t="inlineStr">
        <is>
          <t>Ace</t>
        </is>
      </c>
      <c r="B39" s="11">
        <f>Probability!B39*'Expected Return'!B39</f>
        <v/>
      </c>
      <c r="C39" s="11">
        <f>Probability!C39*'Expected Return'!C39</f>
        <v/>
      </c>
      <c r="D39" s="11">
        <f>Probability!D39*'Expected Return'!D39</f>
        <v/>
      </c>
      <c r="E39" s="11">
        <f>Probability!E39*'Expected Return'!E39</f>
        <v/>
      </c>
      <c r="F39" s="11">
        <f>Probability!F39*'Expected Return'!F39</f>
        <v/>
      </c>
      <c r="G39" s="11">
        <f>Probability!G39*'Expected Return'!G39</f>
        <v/>
      </c>
      <c r="H39" s="11">
        <f>Probability!H39*'Expected Return'!H39</f>
        <v/>
      </c>
      <c r="I39" s="11">
        <f>Probability!I39*'Expected Return'!I39</f>
        <v/>
      </c>
      <c r="J39" s="11">
        <f>Probability!J39*'Expected Return'!J39</f>
        <v/>
      </c>
      <c r="K39" s="11">
        <f>Probability!K39*'Expected Return'!K39</f>
        <v/>
      </c>
    </row>
    <row r="40" ht="12.5" customHeight="1" s="12">
      <c r="B40" s="5" t="n"/>
    </row>
    <row r="41" ht="12.5" customHeight="1" s="12">
      <c r="A41" s="5" t="n"/>
      <c r="B41" s="5" t="n"/>
      <c r="C41" s="5" t="inlineStr">
        <is>
          <t>Error</t>
        </is>
      </c>
    </row>
    <row r="42" ht="12.5" customHeight="1" s="12">
      <c r="A42" s="5" t="inlineStr">
        <is>
          <t>No Dealer BJ</t>
        </is>
      </c>
      <c r="B42" s="11">
        <f>SUM(B4:K39)</f>
        <v/>
      </c>
      <c r="C42" s="11">
        <f>0.040248-B42</f>
        <v/>
      </c>
    </row>
    <row r="43" ht="12.5" customHeight="1" s="12">
      <c r="A43" s="5" t="inlineStr">
        <is>
          <t>Winning Dealer BJ</t>
        </is>
      </c>
      <c r="B43" s="5">
        <f>B45*(1-B45)*-1</f>
        <v/>
      </c>
    </row>
    <row r="44" ht="12.5" customHeight="1" s="12">
      <c r="A44" s="5" t="inlineStr">
        <is>
          <t>TOTAL</t>
        </is>
      </c>
      <c r="B44" s="11">
        <f>B42+B43</f>
        <v/>
      </c>
      <c r="C44" s="11">
        <f>B44+C42</f>
        <v/>
      </c>
    </row>
    <row r="45" ht="12.5" customHeight="1" s="12">
      <c r="A45" s="5" t="inlineStr">
        <is>
          <t>Dealer BJ</t>
        </is>
      </c>
      <c r="B45" s="5">
        <f>2*(4/13)*(1/13)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2026-02-20T21:28:05Z</dcterms:created>
  <dcterms:modified xmlns:dcterms="http://purl.org/dc/terms/" xmlns:xsi="http://www.w3.org/2001/XMLSchema-instance" xsi:type="dcterms:W3CDTF">2026-02-20T21:28:09Z</dcterms:modified>
  <cp:lastModifiedBy>Devin DuBois</cp:lastModifiedBy>
</cp:coreProperties>
</file>